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hate\Desktop\Projects\"/>
    </mc:Choice>
  </mc:AlternateContent>
  <xr:revisionPtr revIDLastSave="0" documentId="13_ncr:1_{78D30418-B209-4D76-A43E-6A4FED469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Data" sheetId="2" r:id="rId1"/>
    <sheet name="product analysis" sheetId="9" r:id="rId2"/>
    <sheet name="region analysis" sheetId="10" r:id="rId3"/>
    <sheet name="Date Analysis" sheetId="11" r:id="rId4"/>
    <sheet name="Sales Growth" sheetId="12" r:id="rId5"/>
    <sheet name="Discount rate" sheetId="13" r:id="rId6"/>
  </sheets>
  <definedNames>
    <definedName name="ExternalData_1" localSheetId="0" hidden="1">MyData!$A$1:$H$18</definedName>
  </definedNames>
  <calcPr calcId="191029" iterateDelta="1E-4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3" l="1"/>
  <c r="H6" i="13"/>
  <c r="H4" i="13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2" i="2"/>
  <c r="I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961D1-802B-43FD-AC84-1B3EF29C5A59}" keepAlive="1" name="Query - data csv" description="Connection to the 'data csv' query in the workbook." type="5" refreshedVersion="8" background="1" saveData="1">
    <dbPr connection="Provider=Microsoft.Mashup.OleDb.1;Data Source=$Workbook$;Location=&quot;data csv&quot;;Extended Properties=&quot;&quot;" command="SELECT * FROM [data csv]"/>
  </connection>
  <connection id="2" xr16:uid="{C66B9C25-44DB-4244-BC42-0C1A8B3723C7}" keepAlive="1" name="Query - Sales_Dashboard xlsx" description="Connection to the 'Sales_Dashboard xlsx' query in the workbook." type="5" refreshedVersion="0" background="1">
    <dbPr connection="Provider=Microsoft.Mashup.OleDb.1;Data Source=$Workbook$;Location=&quot;Sales_Dashboard xlsx&quot;;Extended Properties=&quot;&quot;" command="SELECT * FROM [Sales_Dashboard xlsx]"/>
  </connection>
</connections>
</file>

<file path=xl/sharedStrings.xml><?xml version="1.0" encoding="utf-8"?>
<sst xmlns="http://schemas.openxmlformats.org/spreadsheetml/2006/main" count="78" uniqueCount="24">
  <si>
    <t>Order ID</t>
  </si>
  <si>
    <t>Date</t>
  </si>
  <si>
    <t>Product</t>
  </si>
  <si>
    <t>Region</t>
  </si>
  <si>
    <t>Quantity</t>
  </si>
  <si>
    <t>Unit Price</t>
  </si>
  <si>
    <t>Gross Sales</t>
  </si>
  <si>
    <t>Discount</t>
  </si>
  <si>
    <t>Net Sales</t>
  </si>
  <si>
    <t>Laptop</t>
  </si>
  <si>
    <t>Cairo</t>
  </si>
  <si>
    <t>Giza</t>
  </si>
  <si>
    <t>Keyboard</t>
  </si>
  <si>
    <t>Mouse</t>
  </si>
  <si>
    <t>Alex</t>
  </si>
  <si>
    <t>Row Labels</t>
  </si>
  <si>
    <t>Grand Total</t>
  </si>
  <si>
    <t>Sum of Net Sales</t>
  </si>
  <si>
    <t>2026</t>
  </si>
  <si>
    <t>Oct</t>
  </si>
  <si>
    <t>Sales Growth</t>
  </si>
  <si>
    <t>Discount Rate</t>
  </si>
  <si>
    <t>Sum of Discount</t>
  </si>
  <si>
    <t>Sum of 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</si>
</sst>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med" refreshedDate="46312.64066261574" createdVersion="8" refreshedVersion="8" minRefreshableVersion="3" recordCount="17" xr:uid="{CBD593FF-2CBD-4A85-8C88-830B980EC7ED}">
  <cacheSource type="worksheet">
    <worksheetSource name="data_csv"/>
  </cacheSource>
  <cacheFields count="11">
    <cacheField name="Order ID" numFmtId="0">
      <sharedItems containsSemiMixedTypes="0" containsString="0" containsNumber="1" containsInteger="1" minValue="5001" maxValue="5017"/>
    </cacheField>
    <cacheField name="Date" numFmtId="14">
      <sharedItems containsSemiMixedTypes="0" containsNonDate="0" containsDate="1" containsString="0" minDate="2026-10-01T00:00:00" maxDate="2026-10-10T00:00:00" count="9">
        <d v="2026-10-01T00:00:00"/>
        <d v="2026-10-06T00:00:00"/>
        <d v="2026-10-08T00:00:00"/>
        <d v="2026-10-02T00:00:00"/>
        <d v="2026-10-03T00:00:00"/>
        <d v="2026-10-05T00:00:00"/>
        <d v="2026-10-07T00:00:00"/>
        <d v="2026-10-09T00:00:00"/>
        <d v="2026-10-04T00:00:00"/>
      </sharedItems>
      <fieldGroup par="10"/>
    </cacheField>
    <cacheField name="Product" numFmtId="14">
      <sharedItems count="3">
        <s v="Laptop"/>
        <s v="Keyboard"/>
        <s v="Mouse"/>
      </sharedItems>
    </cacheField>
    <cacheField name="Region" numFmtId="14">
      <sharedItems count="3">
        <s v="Cairo"/>
        <s v="Alex"/>
        <s v="Giza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500" maxValue="25000"/>
    </cacheField>
    <cacheField name="Gross Sales" numFmtId="0">
      <sharedItems containsSemiMixedTypes="0" containsString="0" containsNumber="1" containsInteger="1" minValue="1000" maxValue="50000"/>
    </cacheField>
    <cacheField name="Discount" numFmtId="0">
      <sharedItems containsSemiMixedTypes="0" containsString="0" containsNumber="1" containsInteger="1" minValue="0" maxValue="1500"/>
    </cacheField>
    <cacheField name="Net Sales" numFmtId="0">
      <sharedItems containsSemiMixedTypes="0" containsString="0" containsNumber="1" containsInteger="1" minValue="950" maxValue="49000"/>
    </cacheField>
    <cacheField name="Months (Date)" numFmtId="0" databaseField="0">
      <fieldGroup base="1">
        <rangePr groupBy="months" startDate="2026-10-01T00:00:00" endDate="2026-10-10T00:00:00"/>
        <groupItems count="14">
          <s v="&lt;1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0/2026"/>
        </groupItems>
      </fieldGroup>
    </cacheField>
    <cacheField name="Years (Date)" numFmtId="0" databaseField="0">
      <fieldGroup base="1">
        <rangePr groupBy="years" startDate="2026-10-01T00:00:00" endDate="2026-10-10T00:00:00"/>
        <groupItems count="3">
          <s v="&lt;10/1/2026"/>
          <s v="2026"/>
          <s v="&gt;10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5001"/>
    <x v="0"/>
    <x v="0"/>
    <x v="0"/>
    <n v="2"/>
    <n v="25000"/>
    <n v="50000"/>
    <n v="1000"/>
    <n v="49000"/>
  </r>
  <r>
    <n v="5012"/>
    <x v="1"/>
    <x v="0"/>
    <x v="0"/>
    <n v="2"/>
    <n v="25000"/>
    <n v="50000"/>
    <n v="1000"/>
    <n v="49000"/>
  </r>
  <r>
    <n v="5015"/>
    <x v="2"/>
    <x v="0"/>
    <x v="1"/>
    <n v="1"/>
    <n v="25000"/>
    <n v="25000"/>
    <n v="0"/>
    <n v="25000"/>
  </r>
  <r>
    <n v="5004"/>
    <x v="3"/>
    <x v="0"/>
    <x v="0"/>
    <n v="1"/>
    <n v="25000"/>
    <n v="25000"/>
    <n v="500"/>
    <n v="24500"/>
  </r>
  <r>
    <n v="5006"/>
    <x v="4"/>
    <x v="0"/>
    <x v="2"/>
    <n v="1"/>
    <n v="25000"/>
    <n v="25000"/>
    <n v="500"/>
    <n v="24500"/>
  </r>
  <r>
    <n v="5009"/>
    <x v="5"/>
    <x v="0"/>
    <x v="0"/>
    <n v="1"/>
    <n v="25000"/>
    <n v="25000"/>
    <n v="1500"/>
    <n v="23500"/>
  </r>
  <r>
    <n v="5010"/>
    <x v="5"/>
    <x v="1"/>
    <x v="2"/>
    <n v="4"/>
    <n v="1200"/>
    <n v="4800"/>
    <n v="100"/>
    <n v="4700"/>
  </r>
  <r>
    <n v="5014"/>
    <x v="6"/>
    <x v="1"/>
    <x v="2"/>
    <n v="4"/>
    <n v="1200"/>
    <n v="4800"/>
    <n v="250"/>
    <n v="4550"/>
  </r>
  <r>
    <n v="5016"/>
    <x v="2"/>
    <x v="2"/>
    <x v="2"/>
    <n v="8"/>
    <n v="500"/>
    <n v="4000"/>
    <n v="400"/>
    <n v="3600"/>
  </r>
  <r>
    <n v="5003"/>
    <x v="3"/>
    <x v="1"/>
    <x v="0"/>
    <n v="3"/>
    <n v="1200"/>
    <n v="3600"/>
    <n v="150"/>
    <n v="3450"/>
  </r>
  <r>
    <n v="5005"/>
    <x v="4"/>
    <x v="2"/>
    <x v="2"/>
    <n v="6"/>
    <n v="500"/>
    <n v="3000"/>
    <n v="300"/>
    <n v="2700"/>
  </r>
  <r>
    <n v="5002"/>
    <x v="0"/>
    <x v="2"/>
    <x v="1"/>
    <n v="5"/>
    <n v="500"/>
    <n v="2500"/>
    <n v="100"/>
    <n v="2400"/>
  </r>
  <r>
    <n v="5017"/>
    <x v="7"/>
    <x v="1"/>
    <x v="0"/>
    <n v="2"/>
    <n v="1200"/>
    <n v="2400"/>
    <n v="100"/>
    <n v="2300"/>
  </r>
  <r>
    <n v="5007"/>
    <x v="8"/>
    <x v="1"/>
    <x v="1"/>
    <n v="2"/>
    <n v="1200"/>
    <n v="2400"/>
    <n v="200"/>
    <n v="2200"/>
  </r>
  <r>
    <n v="5008"/>
    <x v="8"/>
    <x v="2"/>
    <x v="0"/>
    <n v="4"/>
    <n v="500"/>
    <n v="2000"/>
    <n v="0"/>
    <n v="2000"/>
  </r>
  <r>
    <n v="5011"/>
    <x v="1"/>
    <x v="2"/>
    <x v="1"/>
    <n v="3"/>
    <n v="500"/>
    <n v="1500"/>
    <n v="0"/>
    <n v="1500"/>
  </r>
  <r>
    <n v="5013"/>
    <x v="6"/>
    <x v="2"/>
    <x v="0"/>
    <n v="2"/>
    <n v="500"/>
    <n v="1000"/>
    <n v="50"/>
    <n v="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A4331-45B0-411D-982F-B4474DBCDB1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>
      <items count="10">
        <item x="0"/>
        <item x="3"/>
        <item x="4"/>
        <item x="8"/>
        <item x="5"/>
        <item x="1"/>
        <item x="6"/>
        <item x="2"/>
        <item x="7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Net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142D6-ADE7-4D9F-BF30-E1F9EC8D97E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1">
    <pivotField showAll="0"/>
    <pivotField numFmtId="14" showAll="0">
      <items count="10">
        <item x="0"/>
        <item x="3"/>
        <item x="4"/>
        <item x="8"/>
        <item x="5"/>
        <item x="1"/>
        <item x="6"/>
        <item x="2"/>
        <item x="7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4"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8" baseField="0" baseItem="0"/>
    <dataField name="Sum of Discount" fld="7" baseField="0" baseItem="0"/>
    <dataField name="Sum of Gross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D4F04-62F9-4163-9F5C-9F481920539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numFmtId="14" showAll="0">
      <items count="10">
        <item x="0"/>
        <item x="3"/>
        <item x="4"/>
        <item x="8"/>
        <item x="5"/>
        <item x="1"/>
        <item x="6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0"/>
    <field x="9"/>
  </rowFields>
  <rowItems count="3">
    <i>
      <x v="1"/>
    </i>
    <i r="1">
      <x v="10"/>
    </i>
    <i t="grand">
      <x/>
    </i>
  </rowItems>
  <colItems count="1">
    <i/>
  </colItems>
  <dataFields count="1">
    <dataField name="Sum of Net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9BDD3-9789-4D7F-A190-687960F8CEA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showAll="0"/>
    <pivotField numFmtId="14" showAll="0">
      <items count="10">
        <item x="0"/>
        <item x="3"/>
        <item x="4"/>
        <item x="8"/>
        <item x="5"/>
        <item x="1"/>
        <item x="6"/>
        <item x="2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8" baseField="0" baseItem="0"/>
    <dataField name="Sales Growth" fld="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567B-DD01-45DD-BBA2-9C29FAF5B7D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1">
    <pivotField showAll="0"/>
    <pivotField numFmtId="14" showAll="0">
      <items count="10">
        <item x="0"/>
        <item x="3"/>
        <item x="4"/>
        <item x="8"/>
        <item x="5"/>
        <item x="1"/>
        <item x="6"/>
        <item x="2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Sales" fld="6" baseField="0" baseItem="0"/>
    <dataField name="Sum of Discount" fld="7" baseField="0" baseItem="0"/>
    <dataField name="Sum of Net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BBE567-8DB1-49A9-8F28-9DF16E704489}" autoFormatId="16" applyNumberFormats="0" applyBorderFormats="0" applyFontFormats="0" applyPatternFormats="0" applyAlignmentFormats="0" applyWidthHeightFormats="0">
  <queryTableRefresh nextId="14" unboundColumnsRight="1">
    <queryTableFields count="9">
      <queryTableField id="1" name="Order ID" tableColumnId="1"/>
      <queryTableField id="2" name="Date" tableColumnId="2"/>
      <queryTableField id="13" dataBound="0" tableColumnId="14"/>
      <queryTableField id="12" dataBound="0" tableColumnId="13"/>
      <queryTableField id="5" name="Quantity" tableColumnId="5"/>
      <queryTableField id="6" name="Unit Price" tableColumnId="6"/>
      <queryTableField id="8" dataBound="0" tableColumnId="8"/>
      <queryTableField id="7" name="Discount" tableColumnId="7"/>
      <queryTableField id="9" dataBound="0" tableColumnId="9"/>
    </queryTableFields>
    <queryTableDeletedFields count="2">
      <deletedField name="Product"/>
      <deletedField name="Reg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1E37B-ACCB-4800-A000-E9B7044F2C8C}" name="data_csv" displayName="data_csv" ref="A1:I18" tableType="queryTable" totalsRowShown="0" headerRowDxfId="10" dataDxfId="9">
  <autoFilter ref="A1:I18" xr:uid="{6321E37B-ACCB-4800-A000-E9B7044F2C8C}"/>
  <sortState xmlns:xlrd2="http://schemas.microsoft.com/office/spreadsheetml/2017/richdata2" ref="A2:I18">
    <sortCondition descending="1" ref="I1:I18"/>
  </sortState>
  <tableColumns count="9">
    <tableColumn id="1" xr3:uid="{DA223ED3-A666-497C-AABD-5AD3D7F19706}" uniqueName="1" name="Order ID" queryTableFieldId="1" dataDxfId="8"/>
    <tableColumn id="2" xr3:uid="{2F494F94-FC2B-4D62-9FA4-8BD795EB57DA}" uniqueName="2" name="Date" queryTableFieldId="2" dataDxfId="7"/>
    <tableColumn id="14" xr3:uid="{1759E051-24FE-4A92-AD30-003AD5EC13CE}" uniqueName="14" name="Product" queryTableFieldId="13" dataDxfId="6"/>
    <tableColumn id="13" xr3:uid="{1A361DF9-FEEC-40A7-8895-13D84E17DF03}" uniqueName="13" name="Region" queryTableFieldId="12" dataDxfId="5"/>
    <tableColumn id="5" xr3:uid="{8E2EB0F4-3087-4C03-B683-C9413C88868C}" uniqueName="5" name="Quantity" queryTableFieldId="5" dataDxfId="4"/>
    <tableColumn id="6" xr3:uid="{F7BAA8BC-9CC7-48CE-BB3E-B3CB8E5B79DB}" uniqueName="6" name="Unit Price" queryTableFieldId="6" dataDxfId="3"/>
    <tableColumn id="8" xr3:uid="{4297E561-3F3F-46E5-AC99-565B32831140}" uniqueName="8" name="Gross Sales" queryTableFieldId="8" dataDxfId="2">
      <calculatedColumnFormula>data_csv[[#This Row],[Quantity]]*data_csv[[#This Row],[Unit Price]]</calculatedColumnFormula>
    </tableColumn>
    <tableColumn id="7" xr3:uid="{FB6AFE56-9CB4-4F5D-869B-D8F9D3DEB999}" uniqueName="7" name="Discount" queryTableFieldId="7" dataDxfId="1"/>
    <tableColumn id="9" xr3:uid="{30A9B64C-54E7-448F-AA1D-FC56F9DBE4C3}" uniqueName="9" name="Net Sales" queryTableFieldId="9" dataDxfId="0">
      <calculatedColumnFormula>data_csv[[#This Row],[Gross Sales]]-data_csv[[#This Row],[Discount]]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40C289-FEB6-4BA3-9747-78CA3C2A2243}">
  <we:reference id="wa200005502" version="1.0.0.13" store="en-US" storeType="OMEX"/>
  <we:alternateReferences>
    <we:reference id="wa200005502" version="1.0.0.13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4438-C50A-43DF-B980-65458576CD01}">
  <dimension ref="A1:I18"/>
  <sheetViews>
    <sheetView tabSelected="1" workbookViewId="0">
      <selection activeCell="K20" sqref="K20"/>
    </sheetView>
  </sheetViews>
  <sheetFormatPr defaultRowHeight="15" x14ac:dyDescent="0.25"/>
  <cols>
    <col min="1" max="1" width="13" bestFit="1" customWidth="1"/>
    <col min="2" max="2" width="9.7109375" bestFit="1" customWidth="1"/>
    <col min="3" max="3" width="12.42578125" bestFit="1" customWidth="1"/>
    <col min="4" max="4" width="11.7109375" bestFit="1" customWidth="1"/>
    <col min="5" max="5" width="13.28515625" bestFit="1" customWidth="1"/>
    <col min="6" max="6" width="14.28515625" bestFit="1" customWidth="1"/>
    <col min="7" max="7" width="15.5703125" bestFit="1" customWidth="1"/>
    <col min="8" max="8" width="13.28515625" bestFit="1" customWidth="1"/>
    <col min="9" max="9" width="13.85546875" bestFit="1" customWidth="1"/>
    <col min="17" max="17" width="10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5001</v>
      </c>
      <c r="B2" s="2">
        <v>46296</v>
      </c>
      <c r="C2" s="2" t="s">
        <v>9</v>
      </c>
      <c r="D2" s="2" t="s">
        <v>10</v>
      </c>
      <c r="E2" s="1">
        <v>2</v>
      </c>
      <c r="F2" s="1">
        <v>25000</v>
      </c>
      <c r="G2" s="1">
        <f>data_csv[[#This Row],[Quantity]]*data_csv[[#This Row],[Unit Price]]</f>
        <v>50000</v>
      </c>
      <c r="H2" s="1">
        <v>1000</v>
      </c>
      <c r="I2" s="1">
        <f>data_csv[[#This Row],[Gross Sales]]-data_csv[[#This Row],[Discount]]</f>
        <v>49000</v>
      </c>
    </row>
    <row r="3" spans="1:9" x14ac:dyDescent="0.25">
      <c r="A3" s="1">
        <v>5012</v>
      </c>
      <c r="B3" s="2">
        <v>46301</v>
      </c>
      <c r="C3" s="2" t="s">
        <v>9</v>
      </c>
      <c r="D3" s="2" t="s">
        <v>10</v>
      </c>
      <c r="E3" s="1">
        <v>2</v>
      </c>
      <c r="F3" s="1">
        <v>25000</v>
      </c>
      <c r="G3" s="1">
        <f>data_csv[[#This Row],[Quantity]]*data_csv[[#This Row],[Unit Price]]</f>
        <v>50000</v>
      </c>
      <c r="H3" s="1">
        <v>1000</v>
      </c>
      <c r="I3" s="1">
        <f>data_csv[[#This Row],[Gross Sales]]-data_csv[[#This Row],[Discount]]</f>
        <v>49000</v>
      </c>
    </row>
    <row r="4" spans="1:9" x14ac:dyDescent="0.25">
      <c r="A4" s="1">
        <v>5015</v>
      </c>
      <c r="B4" s="2">
        <v>46303</v>
      </c>
      <c r="C4" s="2" t="s">
        <v>9</v>
      </c>
      <c r="D4" s="2" t="s">
        <v>14</v>
      </c>
      <c r="E4" s="1">
        <v>1</v>
      </c>
      <c r="F4" s="1">
        <v>25000</v>
      </c>
      <c r="G4" s="1">
        <f>data_csv[[#This Row],[Quantity]]*data_csv[[#This Row],[Unit Price]]</f>
        <v>25000</v>
      </c>
      <c r="H4" s="1">
        <v>0</v>
      </c>
      <c r="I4" s="1">
        <f>data_csv[[#This Row],[Gross Sales]]-data_csv[[#This Row],[Discount]]</f>
        <v>25000</v>
      </c>
    </row>
    <row r="5" spans="1:9" x14ac:dyDescent="0.25">
      <c r="A5" s="1">
        <v>5004</v>
      </c>
      <c r="B5" s="2">
        <v>46297</v>
      </c>
      <c r="C5" s="2" t="s">
        <v>9</v>
      </c>
      <c r="D5" s="2" t="s">
        <v>10</v>
      </c>
      <c r="E5" s="1">
        <v>1</v>
      </c>
      <c r="F5" s="1">
        <v>25000</v>
      </c>
      <c r="G5" s="1">
        <f>data_csv[[#This Row],[Quantity]]*data_csv[[#This Row],[Unit Price]]</f>
        <v>25000</v>
      </c>
      <c r="H5" s="1">
        <v>500</v>
      </c>
      <c r="I5" s="1">
        <f>data_csv[[#This Row],[Gross Sales]]-data_csv[[#This Row],[Discount]]</f>
        <v>24500</v>
      </c>
    </row>
    <row r="6" spans="1:9" x14ac:dyDescent="0.25">
      <c r="A6" s="1">
        <v>5006</v>
      </c>
      <c r="B6" s="2">
        <v>46298</v>
      </c>
      <c r="C6" s="2" t="s">
        <v>9</v>
      </c>
      <c r="D6" s="2" t="s">
        <v>11</v>
      </c>
      <c r="E6" s="1">
        <v>1</v>
      </c>
      <c r="F6" s="1">
        <v>25000</v>
      </c>
      <c r="G6" s="1">
        <f>data_csv[[#This Row],[Quantity]]*data_csv[[#This Row],[Unit Price]]</f>
        <v>25000</v>
      </c>
      <c r="H6" s="1">
        <v>500</v>
      </c>
      <c r="I6" s="1">
        <f>data_csv[[#This Row],[Gross Sales]]-data_csv[[#This Row],[Discount]]</f>
        <v>24500</v>
      </c>
    </row>
    <row r="7" spans="1:9" x14ac:dyDescent="0.25">
      <c r="A7" s="1">
        <v>5009</v>
      </c>
      <c r="B7" s="2">
        <v>46300</v>
      </c>
      <c r="C7" s="2" t="s">
        <v>9</v>
      </c>
      <c r="D7" s="2" t="s">
        <v>10</v>
      </c>
      <c r="E7" s="1">
        <v>1</v>
      </c>
      <c r="F7" s="1">
        <v>25000</v>
      </c>
      <c r="G7" s="1">
        <f>data_csv[[#This Row],[Quantity]]*data_csv[[#This Row],[Unit Price]]</f>
        <v>25000</v>
      </c>
      <c r="H7" s="1">
        <v>1500</v>
      </c>
      <c r="I7" s="1">
        <f>data_csv[[#This Row],[Gross Sales]]-data_csv[[#This Row],[Discount]]</f>
        <v>23500</v>
      </c>
    </row>
    <row r="8" spans="1:9" x14ac:dyDescent="0.25">
      <c r="A8" s="1">
        <v>5010</v>
      </c>
      <c r="B8" s="2">
        <v>46300</v>
      </c>
      <c r="C8" s="2" t="s">
        <v>12</v>
      </c>
      <c r="D8" s="2" t="s">
        <v>11</v>
      </c>
      <c r="E8" s="1">
        <v>4</v>
      </c>
      <c r="F8" s="1">
        <v>1200</v>
      </c>
      <c r="G8" s="1">
        <f>data_csv[[#This Row],[Quantity]]*data_csv[[#This Row],[Unit Price]]</f>
        <v>4800</v>
      </c>
      <c r="H8" s="1">
        <v>100</v>
      </c>
      <c r="I8" s="1">
        <f>data_csv[[#This Row],[Gross Sales]]-data_csv[[#This Row],[Discount]]</f>
        <v>4700</v>
      </c>
    </row>
    <row r="9" spans="1:9" x14ac:dyDescent="0.25">
      <c r="A9" s="1">
        <v>5014</v>
      </c>
      <c r="B9" s="2">
        <v>46302</v>
      </c>
      <c r="C9" s="2" t="s">
        <v>12</v>
      </c>
      <c r="D9" s="2" t="s">
        <v>11</v>
      </c>
      <c r="E9" s="1">
        <v>4</v>
      </c>
      <c r="F9" s="1">
        <v>1200</v>
      </c>
      <c r="G9" s="1">
        <f>data_csv[[#This Row],[Quantity]]*data_csv[[#This Row],[Unit Price]]</f>
        <v>4800</v>
      </c>
      <c r="H9" s="1">
        <v>250</v>
      </c>
      <c r="I9" s="1">
        <f>data_csv[[#This Row],[Gross Sales]]-data_csv[[#This Row],[Discount]]</f>
        <v>4550</v>
      </c>
    </row>
    <row r="10" spans="1:9" x14ac:dyDescent="0.25">
      <c r="A10" s="1">
        <v>5016</v>
      </c>
      <c r="B10" s="2">
        <v>46303</v>
      </c>
      <c r="C10" s="2" t="s">
        <v>13</v>
      </c>
      <c r="D10" s="2" t="s">
        <v>11</v>
      </c>
      <c r="E10" s="1">
        <v>8</v>
      </c>
      <c r="F10" s="1">
        <v>500</v>
      </c>
      <c r="G10" s="1">
        <f>data_csv[[#This Row],[Quantity]]*data_csv[[#This Row],[Unit Price]]</f>
        <v>4000</v>
      </c>
      <c r="H10" s="1">
        <v>400</v>
      </c>
      <c r="I10" s="1">
        <f>data_csv[[#This Row],[Gross Sales]]-data_csv[[#This Row],[Discount]]</f>
        <v>3600</v>
      </c>
    </row>
    <row r="11" spans="1:9" x14ac:dyDescent="0.25">
      <c r="A11" s="1">
        <v>5003</v>
      </c>
      <c r="B11" s="2">
        <v>46297</v>
      </c>
      <c r="C11" s="2" t="s">
        <v>12</v>
      </c>
      <c r="D11" s="2" t="s">
        <v>10</v>
      </c>
      <c r="E11" s="1">
        <v>3</v>
      </c>
      <c r="F11" s="1">
        <v>1200</v>
      </c>
      <c r="G11" s="1">
        <f>data_csv[[#This Row],[Quantity]]*data_csv[[#This Row],[Unit Price]]</f>
        <v>3600</v>
      </c>
      <c r="H11" s="1">
        <v>150</v>
      </c>
      <c r="I11" s="1">
        <f>data_csv[[#This Row],[Gross Sales]]-data_csv[[#This Row],[Discount]]</f>
        <v>3450</v>
      </c>
    </row>
    <row r="12" spans="1:9" x14ac:dyDescent="0.25">
      <c r="A12" s="1">
        <v>5005</v>
      </c>
      <c r="B12" s="2">
        <v>46298</v>
      </c>
      <c r="C12" s="2" t="s">
        <v>13</v>
      </c>
      <c r="D12" s="2" t="s">
        <v>11</v>
      </c>
      <c r="E12" s="1">
        <v>6</v>
      </c>
      <c r="F12" s="1">
        <v>500</v>
      </c>
      <c r="G12" s="1">
        <f>data_csv[[#This Row],[Quantity]]*data_csv[[#This Row],[Unit Price]]</f>
        <v>3000</v>
      </c>
      <c r="H12" s="1">
        <v>300</v>
      </c>
      <c r="I12" s="1">
        <f>data_csv[[#This Row],[Gross Sales]]-data_csv[[#This Row],[Discount]]</f>
        <v>2700</v>
      </c>
    </row>
    <row r="13" spans="1:9" x14ac:dyDescent="0.25">
      <c r="A13" s="1">
        <v>5002</v>
      </c>
      <c r="B13" s="2">
        <v>46296</v>
      </c>
      <c r="C13" s="2" t="s">
        <v>13</v>
      </c>
      <c r="D13" s="2" t="s">
        <v>14</v>
      </c>
      <c r="E13" s="1">
        <v>5</v>
      </c>
      <c r="F13" s="1">
        <v>500</v>
      </c>
      <c r="G13" s="1">
        <f>data_csv[[#This Row],[Quantity]]*data_csv[[#This Row],[Unit Price]]</f>
        <v>2500</v>
      </c>
      <c r="H13" s="1">
        <v>100</v>
      </c>
      <c r="I13" s="1">
        <f>data_csv[[#This Row],[Gross Sales]]-data_csv[[#This Row],[Discount]]</f>
        <v>2400</v>
      </c>
    </row>
    <row r="14" spans="1:9" x14ac:dyDescent="0.25">
      <c r="A14" s="1">
        <v>5017</v>
      </c>
      <c r="B14" s="2">
        <v>46304</v>
      </c>
      <c r="C14" s="2" t="s">
        <v>12</v>
      </c>
      <c r="D14" s="2" t="s">
        <v>10</v>
      </c>
      <c r="E14" s="1">
        <v>2</v>
      </c>
      <c r="F14" s="1">
        <v>1200</v>
      </c>
      <c r="G14" s="1">
        <f>data_csv[[#This Row],[Quantity]]*data_csv[[#This Row],[Unit Price]]</f>
        <v>2400</v>
      </c>
      <c r="H14" s="1">
        <v>100</v>
      </c>
      <c r="I14" s="1">
        <f>data_csv[[#This Row],[Gross Sales]]-data_csv[[#This Row],[Discount]]</f>
        <v>2300</v>
      </c>
    </row>
    <row r="15" spans="1:9" x14ac:dyDescent="0.25">
      <c r="A15" s="1">
        <v>5007</v>
      </c>
      <c r="B15" s="2">
        <v>46299</v>
      </c>
      <c r="C15" s="2" t="s">
        <v>12</v>
      </c>
      <c r="D15" s="2" t="s">
        <v>14</v>
      </c>
      <c r="E15" s="1">
        <v>2</v>
      </c>
      <c r="F15" s="1">
        <v>1200</v>
      </c>
      <c r="G15" s="1">
        <f>data_csv[[#This Row],[Quantity]]*data_csv[[#This Row],[Unit Price]]</f>
        <v>2400</v>
      </c>
      <c r="H15" s="1">
        <v>200</v>
      </c>
      <c r="I15" s="1">
        <f>data_csv[[#This Row],[Gross Sales]]-data_csv[[#This Row],[Discount]]</f>
        <v>2200</v>
      </c>
    </row>
    <row r="16" spans="1:9" x14ac:dyDescent="0.25">
      <c r="A16" s="1">
        <v>5008</v>
      </c>
      <c r="B16" s="2">
        <v>46299</v>
      </c>
      <c r="C16" s="2" t="s">
        <v>13</v>
      </c>
      <c r="D16" s="2" t="s">
        <v>10</v>
      </c>
      <c r="E16" s="1">
        <v>4</v>
      </c>
      <c r="F16" s="1">
        <v>500</v>
      </c>
      <c r="G16" s="1">
        <f>data_csv[[#This Row],[Quantity]]*data_csv[[#This Row],[Unit Price]]</f>
        <v>2000</v>
      </c>
      <c r="H16" s="1">
        <v>0</v>
      </c>
      <c r="I16" s="1">
        <f>data_csv[[#This Row],[Gross Sales]]-data_csv[[#This Row],[Discount]]</f>
        <v>2000</v>
      </c>
    </row>
    <row r="17" spans="1:9" x14ac:dyDescent="0.25">
      <c r="A17" s="1">
        <v>5011</v>
      </c>
      <c r="B17" s="2">
        <v>46301</v>
      </c>
      <c r="C17" s="2" t="s">
        <v>13</v>
      </c>
      <c r="D17" s="2" t="s">
        <v>14</v>
      </c>
      <c r="E17" s="1">
        <v>3</v>
      </c>
      <c r="F17" s="1">
        <v>500</v>
      </c>
      <c r="G17" s="1">
        <f>data_csv[[#This Row],[Quantity]]*data_csv[[#This Row],[Unit Price]]</f>
        <v>1500</v>
      </c>
      <c r="H17" s="1">
        <v>0</v>
      </c>
      <c r="I17" s="1">
        <f>data_csv[[#This Row],[Gross Sales]]-data_csv[[#This Row],[Discount]]</f>
        <v>1500</v>
      </c>
    </row>
    <row r="18" spans="1:9" x14ac:dyDescent="0.25">
      <c r="A18" s="1">
        <v>5013</v>
      </c>
      <c r="B18" s="2">
        <v>46302</v>
      </c>
      <c r="C18" s="2" t="s">
        <v>13</v>
      </c>
      <c r="D18" s="2" t="s">
        <v>10</v>
      </c>
      <c r="E18" s="1">
        <v>2</v>
      </c>
      <c r="F18" s="1">
        <v>500</v>
      </c>
      <c r="G18" s="1">
        <f>data_csv[[#This Row],[Quantity]]*data_csv[[#This Row],[Unit Price]]</f>
        <v>1000</v>
      </c>
      <c r="H18" s="1">
        <v>50</v>
      </c>
      <c r="I18" s="1">
        <f>data_csv[[#This Row],[Gross Sales]]-data_csv[[#This Row],[Discount]]</f>
        <v>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112E-BBCC-4561-9CCC-2A9083944FAD}">
  <dimension ref="A3:B7"/>
  <sheetViews>
    <sheetView workbookViewId="0">
      <selection activeCell="E31" sqref="E31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3" t="s">
        <v>15</v>
      </c>
      <c r="B3" t="s">
        <v>17</v>
      </c>
    </row>
    <row r="4" spans="1:2" x14ac:dyDescent="0.25">
      <c r="A4" s="4" t="s">
        <v>9</v>
      </c>
      <c r="B4">
        <v>195500</v>
      </c>
    </row>
    <row r="5" spans="1:2" x14ac:dyDescent="0.25">
      <c r="A5" s="4" t="s">
        <v>12</v>
      </c>
      <c r="B5">
        <v>17200</v>
      </c>
    </row>
    <row r="6" spans="1:2" x14ac:dyDescent="0.25">
      <c r="A6" s="4" t="s">
        <v>13</v>
      </c>
      <c r="B6">
        <v>13150</v>
      </c>
    </row>
    <row r="7" spans="1:2" x14ac:dyDescent="0.25">
      <c r="A7" s="4" t="s">
        <v>16</v>
      </c>
      <c r="B7">
        <v>225850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2A4F-0078-4919-B4E2-D7CFA84CD883}">
  <dimension ref="A3:D7"/>
  <sheetViews>
    <sheetView workbookViewId="0">
      <selection activeCell="J31" sqref="J31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15.42578125" bestFit="1" customWidth="1"/>
    <col min="4" max="4" width="17.85546875" bestFit="1" customWidth="1"/>
  </cols>
  <sheetData>
    <row r="3" spans="1:4" x14ac:dyDescent="0.25">
      <c r="A3" s="3" t="s">
        <v>15</v>
      </c>
      <c r="B3" t="s">
        <v>17</v>
      </c>
      <c r="C3" t="s">
        <v>22</v>
      </c>
      <c r="D3" t="s">
        <v>23</v>
      </c>
    </row>
    <row r="4" spans="1:4" x14ac:dyDescent="0.25">
      <c r="A4" s="4" t="s">
        <v>10</v>
      </c>
      <c r="B4">
        <v>154700</v>
      </c>
      <c r="C4">
        <v>4300</v>
      </c>
      <c r="D4">
        <v>159000</v>
      </c>
    </row>
    <row r="5" spans="1:4" x14ac:dyDescent="0.25">
      <c r="A5" s="4" t="s">
        <v>11</v>
      </c>
      <c r="B5">
        <v>40050</v>
      </c>
      <c r="C5">
        <v>1550</v>
      </c>
      <c r="D5">
        <v>41600</v>
      </c>
    </row>
    <row r="6" spans="1:4" x14ac:dyDescent="0.25">
      <c r="A6" s="4" t="s">
        <v>14</v>
      </c>
      <c r="B6">
        <v>31100</v>
      </c>
      <c r="C6">
        <v>300</v>
      </c>
      <c r="D6">
        <v>31400</v>
      </c>
    </row>
    <row r="7" spans="1:4" x14ac:dyDescent="0.25">
      <c r="A7" s="4" t="s">
        <v>16</v>
      </c>
      <c r="B7">
        <v>225850</v>
      </c>
      <c r="C7">
        <v>6150</v>
      </c>
      <c r="D7">
        <v>232000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E3A0-D410-457E-BB8F-C5B1F4621C96}">
  <dimension ref="A3:B6"/>
  <sheetViews>
    <sheetView workbookViewId="0">
      <selection activeCell="H21" sqref="H21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3" t="s">
        <v>15</v>
      </c>
      <c r="B3" t="s">
        <v>17</v>
      </c>
    </row>
    <row r="4" spans="1:2" x14ac:dyDescent="0.25">
      <c r="A4" s="4" t="s">
        <v>18</v>
      </c>
      <c r="B4">
        <v>225850</v>
      </c>
    </row>
    <row r="5" spans="1:2" x14ac:dyDescent="0.25">
      <c r="A5" s="5" t="s">
        <v>19</v>
      </c>
      <c r="B5">
        <v>225850</v>
      </c>
    </row>
    <row r="6" spans="1:2" x14ac:dyDescent="0.25">
      <c r="A6" s="4" t="s">
        <v>16</v>
      </c>
      <c r="B6">
        <v>225850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B4AF-A10C-4484-92DA-14649F94F951}">
  <dimension ref="A3:C7"/>
  <sheetViews>
    <sheetView workbookViewId="0">
      <selection activeCell="G16" sqref="G16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12.7109375" bestFit="1" customWidth="1"/>
  </cols>
  <sheetData>
    <row r="3" spans="1:3" x14ac:dyDescent="0.25">
      <c r="A3" s="3" t="s">
        <v>15</v>
      </c>
      <c r="B3" t="s">
        <v>17</v>
      </c>
      <c r="C3" t="s">
        <v>20</v>
      </c>
    </row>
    <row r="4" spans="1:3" x14ac:dyDescent="0.25">
      <c r="A4" s="4" t="s">
        <v>12</v>
      </c>
      <c r="B4">
        <v>17200</v>
      </c>
      <c r="C4" s="6">
        <v>7.6156741199911449E-2</v>
      </c>
    </row>
    <row r="5" spans="1:3" x14ac:dyDescent="0.25">
      <c r="A5" s="4" t="s">
        <v>9</v>
      </c>
      <c r="B5">
        <v>195500</v>
      </c>
      <c r="C5" s="6">
        <v>0.86561877352224925</v>
      </c>
    </row>
    <row r="6" spans="1:3" x14ac:dyDescent="0.25">
      <c r="A6" s="4" t="s">
        <v>13</v>
      </c>
      <c r="B6">
        <v>13150</v>
      </c>
      <c r="C6" s="6">
        <v>5.8224485277839272E-2</v>
      </c>
    </row>
    <row r="7" spans="1:3" x14ac:dyDescent="0.25">
      <c r="A7" s="4" t="s">
        <v>16</v>
      </c>
      <c r="B7">
        <v>225850</v>
      </c>
      <c r="C7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E95-4F09-40AC-8075-09BADF2A752D}">
  <dimension ref="A3:H7"/>
  <sheetViews>
    <sheetView workbookViewId="0">
      <selection activeCell="Y2" sqref="Y2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5.42578125" bestFit="1" customWidth="1"/>
    <col min="4" max="4" width="16" bestFit="1" customWidth="1"/>
    <col min="8" max="8" width="13.28515625" bestFit="1" customWidth="1"/>
  </cols>
  <sheetData>
    <row r="3" spans="1:8" x14ac:dyDescent="0.25">
      <c r="A3" s="3" t="s">
        <v>15</v>
      </c>
      <c r="B3" t="s">
        <v>23</v>
      </c>
      <c r="C3" t="s">
        <v>22</v>
      </c>
      <c r="D3" t="s">
        <v>17</v>
      </c>
      <c r="H3" t="s">
        <v>21</v>
      </c>
    </row>
    <row r="4" spans="1:8" x14ac:dyDescent="0.25">
      <c r="A4" s="4" t="s">
        <v>12</v>
      </c>
      <c r="B4">
        <v>18000</v>
      </c>
      <c r="C4">
        <v>800</v>
      </c>
      <c r="D4">
        <v>17200</v>
      </c>
      <c r="E4" s="7"/>
      <c r="H4" s="7">
        <f>C4/B4</f>
        <v>4.4444444444444446E-2</v>
      </c>
    </row>
    <row r="5" spans="1:8" x14ac:dyDescent="0.25">
      <c r="A5" s="4" t="s">
        <v>9</v>
      </c>
      <c r="B5">
        <v>200000</v>
      </c>
      <c r="C5">
        <v>4500</v>
      </c>
      <c r="D5">
        <v>195500</v>
      </c>
      <c r="E5" s="7"/>
      <c r="H5" s="7">
        <f t="shared" ref="H5:H6" si="0">C5/B5</f>
        <v>2.2499999999999999E-2</v>
      </c>
    </row>
    <row r="6" spans="1:8" x14ac:dyDescent="0.25">
      <c r="A6" s="4" t="s">
        <v>13</v>
      </c>
      <c r="B6">
        <v>14000</v>
      </c>
      <c r="C6">
        <v>850</v>
      </c>
      <c r="D6">
        <v>13150</v>
      </c>
      <c r="E6" s="7"/>
      <c r="H6" s="7">
        <f t="shared" si="0"/>
        <v>6.0714285714285714E-2</v>
      </c>
    </row>
    <row r="7" spans="1:8" x14ac:dyDescent="0.25">
      <c r="A7" s="4" t="s">
        <v>16</v>
      </c>
      <c r="B7">
        <v>232000</v>
      </c>
      <c r="C7">
        <v>6150</v>
      </c>
      <c r="D7">
        <v>225850</v>
      </c>
      <c r="E7" s="7"/>
      <c r="H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9797A-D1E0-4F87-9A3A-12A4BE1D2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MyData</vt:lpstr>
      <vt:lpstr>product analysis</vt:lpstr>
      <vt:lpstr>region analysis</vt:lpstr>
      <vt:lpstr>Date Analysis</vt:lpstr>
      <vt:lpstr>Sales Growth</vt:lpstr>
      <vt:lpstr>Discount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Xmed</dc:creator>
  <cp:lastModifiedBy>Ahmed H.K</cp:lastModifiedBy>
  <dcterms:created xsi:type="dcterms:W3CDTF">2015-06-05T18:17:20Z</dcterms:created>
  <dcterms:modified xsi:type="dcterms:W3CDTF">2026-10-17T15:56:57Z</dcterms:modified>
</cp:coreProperties>
</file>