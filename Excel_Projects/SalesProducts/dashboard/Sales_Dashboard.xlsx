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<sst xmlns="http://schemas.openxmlformats.org/spreadsheetml/2006/main" count="80" uniqueCount="32">
  <si>
    <t xml:space="preserve">SALES DASHBOARD</t>
  </si>
  <si>
    <t xml:space="preserve">October 2026  •  Net sales performance by product, region and day</t>
  </si>
  <si>
    <t xml:space="preserve">PRODUCT</t>
  </si>
  <si>
    <t xml:space="preserve">All</t>
  </si>
  <si>
    <t xml:space="preserve">REGION</t>
  </si>
  <si>
    <t xml:space="preserve">◄ pick from the dropdowns</t>
  </si>
  <si>
    <t xml:space="preserve">TOTAL SALES</t>
  </si>
  <si>
    <t xml:space="preserve">NET SALES</t>
  </si>
  <si>
    <t xml:space="preserve">DISCOUNTS</t>
  </si>
  <si>
    <t xml:space="preserve">ORDERS</t>
  </si>
  <si>
    <t xml:space="preserve">Net Sales by Product</t>
  </si>
  <si>
    <t xml:space="preserve">Net Sales by Region</t>
  </si>
  <si>
    <t xml:space="preserve">Daily Net Sales</t>
  </si>
  <si>
    <t xml:space="preserve">Net Sales: Product × Region</t>
  </si>
  <si>
    <t xml:space="preserve">Order ID</t>
  </si>
  <si>
    <t xml:space="preserve">Date</t>
  </si>
  <si>
    <t xml:space="preserve">Product</t>
  </si>
  <si>
    <t xml:space="preserve">Region</t>
  </si>
  <si>
    <t xml:space="preserve">Quantity</t>
  </si>
  <si>
    <t xml:space="preserve">Unit Price</t>
  </si>
  <si>
    <t xml:space="preserve">Gross Sales</t>
  </si>
  <si>
    <t xml:space="preserve">Discount</t>
  </si>
  <si>
    <t xml:space="preserve">Net Sales</t>
  </si>
  <si>
    <t xml:space="preserve">Laptop</t>
  </si>
  <si>
    <t xml:space="preserve">Cairo</t>
  </si>
  <si>
    <t xml:space="preserve">Mouse</t>
  </si>
  <si>
    <t xml:space="preserve">Alex</t>
  </si>
  <si>
    <t xml:space="preserve">Keyboard</t>
  </si>
  <si>
    <t xml:space="preserve">Giza</t>
  </si>
  <si>
    <t xml:space="preserve">Helper data for the Dashboard (live formulas - do not edit)</t>
  </si>
  <si>
    <t xml:space="preserve">Product filter</t>
  </si>
  <si>
    <t xml:space="preserve">Region filter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</si>
</sst>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yyyy\-mm\-dd"/>
    <numFmt numFmtId="168" formatCode="dd\-m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0"/>
      <color rgb="FF94A3B8"/>
      <name val="Arial"/>
      <family val="0"/>
      <charset val="1"/>
    </font>
    <font>
      <b val="true"/>
      <sz val="11"/>
      <color rgb="FF0B1220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24"/>
      <color rgb="FF38BDF8"/>
      <name val="Arial"/>
      <family val="0"/>
      <charset val="1"/>
    </font>
    <font>
      <b val="true"/>
      <sz val="24"/>
      <color rgb="FF34D399"/>
      <name val="Arial"/>
      <family val="0"/>
      <charset val="1"/>
    </font>
    <font>
      <b val="true"/>
      <sz val="24"/>
      <color rgb="FFFBBF24"/>
      <name val="Arial"/>
      <family val="0"/>
      <charset val="1"/>
    </font>
    <font>
      <b val="true"/>
      <sz val="24"/>
      <color rgb="FFA78BFA"/>
      <name val="Arial"/>
      <family val="0"/>
      <charset val="1"/>
    </font>
    <font>
      <b val="true"/>
      <sz val="11"/>
      <color rgb="FFE2E8F0"/>
      <name val="Arial"/>
      <family val="0"/>
      <charset val="1"/>
    </font>
    <font>
      <b val="true"/>
      <sz val="9"/>
      <color rgb="FFE2E8F0"/>
      <name val="Calibri"/>
      <family val="2"/>
    </font>
    <font>
      <sz val="9"/>
      <color rgb="FF94A3B8"/>
      <name val="Calibri"/>
      <family val="2"/>
    </font>
    <font>
      <sz val="9"/>
      <color rgb="FFE2E8F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220"/>
        <bgColor rgb="FF162033"/>
      </patternFill>
    </fill>
    <fill>
      <patternFill patternType="solid">
        <fgColor rgb="FF38BDF8"/>
        <bgColor rgb="FF34D399"/>
      </patternFill>
    </fill>
    <fill>
      <patternFill patternType="solid">
        <fgColor rgb="FF162033"/>
        <bgColor rgb="FF0B1220"/>
      </patternFill>
    </fill>
    <fill>
      <patternFill patternType="solid">
        <fgColor rgb="FF1F3864"/>
        <bgColor rgb="FF26334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ck">
        <color rgb="FF38BDF8"/>
      </top>
      <bottom/>
      <diagonal/>
    </border>
    <border diagonalUp="false" diagonalDown="false">
      <left/>
      <right/>
      <top style="thick">
        <color rgb="FF34D399"/>
      </top>
      <bottom/>
      <diagonal/>
    </border>
    <border diagonalUp="false" diagonalDown="false">
      <left/>
      <right/>
      <top style="thick">
        <color rgb="FFFBBF24"/>
      </top>
      <bottom/>
      <diagonal/>
    </border>
    <border diagonalUp="false" diagonalDown="false">
      <left/>
      <right/>
      <top style="thick">
        <color rgb="FFA78BF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220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8BDF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BBF24"/>
      <rgbColor rgb="FFFF9900"/>
      <rgbColor rgb="FFFF6600"/>
      <rgbColor rgb="FF64748B"/>
      <rgbColor rgb="FF94A3B8"/>
      <rgbColor rgb="FF1F3864"/>
      <rgbColor rgb="FF339966"/>
      <rgbColor rgb="FF162033"/>
      <rgbColor rgb="FF333300"/>
      <rgbColor rgb="FF993300"/>
      <rgbColor rgb="FF993366"/>
      <rgbColor rgb="FF333399"/>
      <rgbColor rgb="FF2633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Calc!B6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e2e8f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Calc!$A$7:$A$9</c:f>
              <c:strCache>
                <c:ptCount val="3"/>
                <c:pt idx="0">
                  <c:v>Laptop</c:v>
                </c:pt>
                <c:pt idx="1">
                  <c:v>Keyboard</c:v>
                </c:pt>
                <c:pt idx="2">
                  <c:v>Mouse</c:v>
                </c:pt>
              </c:strCache>
            </c:strRef>
          </c:cat>
          <c:val>
            <c:numRef>
              <c:f>Calc!$B$7:$B$9</c:f>
              <c:numCache>
                <c:formatCode>#,##0</c:formatCode>
                <c:ptCount val="3"/>
                <c:pt idx="0">
                  <c:v>195500</c:v>
                </c:pt>
                <c:pt idx="1">
                  <c:v>17200</c:v>
                </c:pt>
                <c:pt idx="2">
                  <c:v>13150</c:v>
                </c:pt>
              </c:numCache>
            </c:numRef>
          </c:val>
        </c:ser>
        <c:gapWidth val="60"/>
        <c:overlap val="0"/>
        <c:axId val="60153399"/>
        <c:axId val="18221237"/>
      </c:barChart>
      <c:catAx>
        <c:axId val="60153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34d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18221237"/>
        <c:crosses val="autoZero"/>
        <c:auto val="1"/>
        <c:lblAlgn val="ctr"/>
        <c:lblOffset val="100"/>
        <c:noMultiLvlLbl val="0"/>
      </c:catAx>
      <c:valAx>
        <c:axId val="18221237"/>
        <c:scaling>
          <c:orientation val="minMax"/>
        </c:scaling>
        <c:delete val="0"/>
        <c:axPos val="l"/>
        <c:majorGridlines>
          <c:spPr>
            <a:ln w="9360">
              <a:solidFill>
                <a:srgbClr val="26334d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60153399"/>
        <c:crosses val="autoZero"/>
        <c:crossBetween val="between"/>
      </c:valAx>
      <c:spPr>
        <a:solidFill>
          <a:srgbClr val="162033"/>
        </a:solidFill>
        <a:ln w="0">
          <a:noFill/>
        </a:ln>
      </c:spPr>
    </c:plotArea>
    <c:plotVisOnly val="1"/>
    <c:dispBlanksAs val="gap"/>
  </c:chart>
  <c:spPr>
    <a:solidFill>
      <a:srgbClr val="162033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Calc!E6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a78bfa"/>
            </a:solidFill>
            <a:ln w="0">
              <a:solidFill>
                <a:srgbClr val="a78bfa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e2e8f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Calc!$D$7:$D$9</c:f>
              <c:strCache>
                <c:ptCount val="3"/>
                <c:pt idx="0">
                  <c:v>Cairo</c:v>
                </c:pt>
                <c:pt idx="1">
                  <c:v>Giza</c:v>
                </c:pt>
                <c:pt idx="2">
                  <c:v>Alex</c:v>
                </c:pt>
              </c:strCache>
            </c:strRef>
          </c:cat>
          <c:val>
            <c:numRef>
              <c:f>Calc!$E$7:$E$9</c:f>
              <c:numCache>
                <c:formatCode>#,##0</c:formatCode>
                <c:ptCount val="3"/>
                <c:pt idx="0">
                  <c:v>154700</c:v>
                </c:pt>
                <c:pt idx="1">
                  <c:v>40050</c:v>
                </c:pt>
                <c:pt idx="2">
                  <c:v>31100</c:v>
                </c:pt>
              </c:numCache>
            </c:numRef>
          </c:val>
        </c:ser>
        <c:gapWidth val="60"/>
        <c:overlap val="0"/>
        <c:axId val="80040571"/>
        <c:axId val="79376224"/>
      </c:barChart>
      <c:catAx>
        <c:axId val="800405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34d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79376224"/>
        <c:crosses val="autoZero"/>
        <c:auto val="1"/>
        <c:lblAlgn val="ctr"/>
        <c:lblOffset val="100"/>
        <c:noMultiLvlLbl val="0"/>
      </c:catAx>
      <c:valAx>
        <c:axId val="79376224"/>
        <c:scaling>
          <c:orientation val="minMax"/>
        </c:scaling>
        <c:delete val="0"/>
        <c:axPos val="l"/>
        <c:majorGridlines>
          <c:spPr>
            <a:ln w="9360">
              <a:solidFill>
                <a:srgbClr val="26334d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80040571"/>
        <c:crosses val="max"/>
        <c:crossBetween val="between"/>
      </c:valAx>
      <c:spPr>
        <a:solidFill>
          <a:srgbClr val="162033"/>
        </a:solidFill>
        <a:ln w="0">
          <a:noFill/>
        </a:ln>
      </c:spPr>
    </c:plotArea>
    <c:plotVisOnly val="1"/>
    <c:dispBlanksAs val="gap"/>
  </c:chart>
  <c:spPr>
    <a:solidFill>
      <a:srgbClr val="162033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Calc!B12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34d399"/>
            </a:solidFill>
            <a:ln w="32040">
              <a:solidFill>
                <a:srgbClr val="34d399"/>
              </a:solidFill>
              <a:round/>
            </a:ln>
          </c:spPr>
          <c:marker>
            <c:symbol val="circle"/>
            <c:size val="7"/>
            <c:spPr>
              <a:solidFill>
                <a:srgbClr val="34d399"/>
              </a:solidFill>
            </c:spPr>
          </c:marker>
          <c:dLbls>
            <c:numFmt formatCode="#,##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e2e8f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Calc!$A$13:$A$21</c:f>
              <c:strCache>
                <c:ptCount val="9"/>
                <c:pt idx="0">
                  <c:v>01-Oct</c:v>
                </c:pt>
                <c:pt idx="1">
                  <c:v>02-Oct</c:v>
                </c:pt>
                <c:pt idx="2">
                  <c:v>03-Oct</c:v>
                </c:pt>
                <c:pt idx="3">
                  <c:v>04-Oct</c:v>
                </c:pt>
                <c:pt idx="4">
                  <c:v>05-Oct</c:v>
                </c:pt>
                <c:pt idx="5">
                  <c:v>06-Oct</c:v>
                </c:pt>
                <c:pt idx="6">
                  <c:v>07-Oct</c:v>
                </c:pt>
                <c:pt idx="7">
                  <c:v>08-Oct</c:v>
                </c:pt>
                <c:pt idx="8">
                  <c:v>09-Oct</c:v>
                </c:pt>
              </c:strCache>
            </c:strRef>
          </c:cat>
          <c:val>
            <c:numRef>
              <c:f>Calc!$B$13:$B$21</c:f>
              <c:numCache>
                <c:formatCode>#,##0</c:formatCode>
                <c:ptCount val="9"/>
                <c:pt idx="0">
                  <c:v>51400</c:v>
                </c:pt>
                <c:pt idx="1">
                  <c:v>27950</c:v>
                </c:pt>
                <c:pt idx="2">
                  <c:v>27200</c:v>
                </c:pt>
                <c:pt idx="3">
                  <c:v>4200</c:v>
                </c:pt>
                <c:pt idx="4">
                  <c:v>28200</c:v>
                </c:pt>
                <c:pt idx="5">
                  <c:v>50500</c:v>
                </c:pt>
                <c:pt idx="6">
                  <c:v>5500</c:v>
                </c:pt>
                <c:pt idx="7">
                  <c:v>28600</c:v>
                </c:pt>
                <c:pt idx="8">
                  <c:v>2300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065353"/>
        <c:axId val="77384616"/>
      </c:lineChart>
      <c:catAx>
        <c:axId val="29065353"/>
        <c:scaling>
          <c:orientation val="minMax"/>
        </c:scaling>
        <c:delete val="0"/>
        <c:axPos val="b"/>
        <c:numFmt formatCode="dd\-mmm" sourceLinked="1"/>
        <c:majorTickMark val="none"/>
        <c:minorTickMark val="none"/>
        <c:tickLblPos val="nextTo"/>
        <c:spPr>
          <a:ln w="9360">
            <a:solidFill>
              <a:srgbClr val="26334d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77384616"/>
        <c:crosses val="autoZero"/>
        <c:auto val="1"/>
        <c:lblAlgn val="ctr"/>
        <c:lblOffset val="100"/>
        <c:noMultiLvlLbl val="0"/>
      </c:catAx>
      <c:valAx>
        <c:axId val="77384616"/>
        <c:scaling>
          <c:orientation val="minMax"/>
        </c:scaling>
        <c:delete val="0"/>
        <c:axPos val="l"/>
        <c:majorGridlines>
          <c:spPr>
            <a:ln w="9360">
              <a:solidFill>
                <a:srgbClr val="26334d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29065353"/>
        <c:crosses val="autoZero"/>
        <c:crossBetween val="between"/>
      </c:valAx>
      <c:spPr>
        <a:solidFill>
          <a:srgbClr val="162033"/>
        </a:solidFill>
        <a:ln w="0">
          <a:noFill/>
        </a:ln>
      </c:spPr>
    </c:plotArea>
    <c:plotVisOnly val="1"/>
    <c:dispBlanksAs val="gap"/>
  </c:chart>
  <c:spPr>
    <a:solidFill>
      <a:srgbClr val="162033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Calc!H6</c:f>
              <c:strCache>
                <c:ptCount val="1"/>
                <c:pt idx="0">
                  <c:v>Cairo</c:v>
                </c:pt>
              </c:strCache>
            </c:strRef>
          </c:tx>
          <c:spPr>
            <a:solidFill>
              <a:srgbClr val="38bdf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Calc!$G$7:$G$9</c:f>
              <c:strCache>
                <c:ptCount val="3"/>
                <c:pt idx="0">
                  <c:v>Laptop</c:v>
                </c:pt>
                <c:pt idx="1">
                  <c:v>Keyboard</c:v>
                </c:pt>
                <c:pt idx="2">
                  <c:v>Mouse</c:v>
                </c:pt>
              </c:strCache>
            </c:strRef>
          </c:cat>
          <c:val>
            <c:numRef>
              <c:f>Calc!$H$7:$H$9</c:f>
              <c:numCache>
                <c:formatCode>#,##0</c:formatCode>
                <c:ptCount val="3"/>
                <c:pt idx="0">
                  <c:v>146000</c:v>
                </c:pt>
                <c:pt idx="1">
                  <c:v>5750</c:v>
                </c:pt>
                <c:pt idx="2">
                  <c:v>2950</c:v>
                </c:pt>
              </c:numCache>
            </c:numRef>
          </c:val>
        </c:ser>
        <c:ser>
          <c:idx val="1"/>
          <c:order val="1"/>
          <c:tx>
            <c:strRef>
              <c:f>Calc!I6</c:f>
              <c:strCache>
                <c:ptCount val="1"/>
                <c:pt idx="0">
                  <c:v>Giza</c:v>
                </c:pt>
              </c:strCache>
            </c:strRef>
          </c:tx>
          <c:spPr>
            <a:solidFill>
              <a:srgbClr val="a78bf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Calc!$G$7:$G$9</c:f>
              <c:strCache>
                <c:ptCount val="3"/>
                <c:pt idx="0">
                  <c:v>Laptop</c:v>
                </c:pt>
                <c:pt idx="1">
                  <c:v>Keyboard</c:v>
                </c:pt>
                <c:pt idx="2">
                  <c:v>Mouse</c:v>
                </c:pt>
              </c:strCache>
            </c:strRef>
          </c:cat>
          <c:val>
            <c:numRef>
              <c:f>Calc!$I$7:$I$9</c:f>
              <c:numCache>
                <c:formatCode>#,##0</c:formatCode>
                <c:ptCount val="3"/>
                <c:pt idx="0">
                  <c:v>24500</c:v>
                </c:pt>
                <c:pt idx="1">
                  <c:v>9250</c:v>
                </c:pt>
                <c:pt idx="2">
                  <c:v>6300</c:v>
                </c:pt>
              </c:numCache>
            </c:numRef>
          </c:val>
        </c:ser>
        <c:ser>
          <c:idx val="2"/>
          <c:order val="2"/>
          <c:tx>
            <c:strRef>
              <c:f>Calc!J6</c:f>
              <c:strCache>
                <c:ptCount val="1"/>
                <c:pt idx="0">
                  <c:v>Alex</c:v>
                </c:pt>
              </c:strCache>
            </c:strRef>
          </c:tx>
          <c:spPr>
            <a:solidFill>
              <a:srgbClr val="fbbf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Calc!$G$7:$G$9</c:f>
              <c:strCache>
                <c:ptCount val="3"/>
                <c:pt idx="0">
                  <c:v>Laptop</c:v>
                </c:pt>
                <c:pt idx="1">
                  <c:v>Keyboard</c:v>
                </c:pt>
                <c:pt idx="2">
                  <c:v>Mouse</c:v>
                </c:pt>
              </c:strCache>
            </c:strRef>
          </c:cat>
          <c:val>
            <c:numRef>
              <c:f>Calc!$J$7:$J$9</c:f>
              <c:numCache>
                <c:formatCode>#,##0</c:formatCode>
                <c:ptCount val="3"/>
                <c:pt idx="0">
                  <c:v>25000</c:v>
                </c:pt>
                <c:pt idx="1">
                  <c:v>2200</c:v>
                </c:pt>
                <c:pt idx="2">
                  <c:v>3900</c:v>
                </c:pt>
              </c:numCache>
            </c:numRef>
          </c:val>
        </c:ser>
        <c:gapWidth val="60"/>
        <c:overlap val="100"/>
        <c:axId val="30904239"/>
        <c:axId val="35051493"/>
      </c:barChart>
      <c:catAx>
        <c:axId val="3090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34d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35051493"/>
        <c:crosses val="autoZero"/>
        <c:auto val="1"/>
        <c:lblAlgn val="ctr"/>
        <c:lblOffset val="100"/>
        <c:noMultiLvlLbl val="0"/>
      </c:catAx>
      <c:valAx>
        <c:axId val="35051493"/>
        <c:scaling>
          <c:orientation val="minMax"/>
        </c:scaling>
        <c:delete val="0"/>
        <c:axPos val="l"/>
        <c:majorGridlines>
          <c:spPr>
            <a:ln w="9360">
              <a:solidFill>
                <a:srgbClr val="26334d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30904239"/>
        <c:crosses val="autoZero"/>
        <c:crossBetween val="between"/>
      </c:valAx>
      <c:spPr>
        <a:solidFill>
          <a:srgbClr val="162033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62033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"Discount"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rgbClr val="fbbf24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fbbf2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Data!$G$2:$G$200</c:f>
              <c:numCache>
                <c:formatCode>#,##0</c:formatCode>
                <c:ptCount val="199"/>
                <c:pt idx="0">
                  <c:v>50000</c:v>
                </c:pt>
                <c:pt idx="1">
                  <c:v>2500</c:v>
                </c:pt>
                <c:pt idx="2">
                  <c:v>3600</c:v>
                </c:pt>
                <c:pt idx="3">
                  <c:v>25000</c:v>
                </c:pt>
                <c:pt idx="4">
                  <c:v>3000</c:v>
                </c:pt>
                <c:pt idx="5">
                  <c:v>25000</c:v>
                </c:pt>
                <c:pt idx="6">
                  <c:v>2400</c:v>
                </c:pt>
                <c:pt idx="7">
                  <c:v>2000</c:v>
                </c:pt>
                <c:pt idx="8">
                  <c:v>25000</c:v>
                </c:pt>
                <c:pt idx="9">
                  <c:v>4800</c:v>
                </c:pt>
                <c:pt idx="10">
                  <c:v>1500</c:v>
                </c:pt>
                <c:pt idx="11">
                  <c:v>50000</c:v>
                </c:pt>
                <c:pt idx="12">
                  <c:v>1000</c:v>
                </c:pt>
                <c:pt idx="13">
                  <c:v>4800</c:v>
                </c:pt>
                <c:pt idx="14">
                  <c:v>25000</c:v>
                </c:pt>
                <c:pt idx="15">
                  <c:v>4000</c:v>
                </c:pt>
                <c:pt idx="16">
                  <c:v>2400</c:v>
                </c:pt>
              </c:numCache>
            </c:numRef>
          </c:xVal>
          <c:yVal>
            <c:numRef>
              <c:f>Data!$H$2:$H$200</c:f>
              <c:numCache>
                <c:formatCode>#,##0</c:formatCode>
                <c:ptCount val="199"/>
                <c:pt idx="0">
                  <c:v>1000</c:v>
                </c:pt>
                <c:pt idx="1">
                  <c:v>100</c:v>
                </c:pt>
                <c:pt idx="2">
                  <c:v>150</c:v>
                </c:pt>
                <c:pt idx="3">
                  <c:v>500</c:v>
                </c:pt>
                <c:pt idx="4">
                  <c:v>300</c:v>
                </c:pt>
                <c:pt idx="5">
                  <c:v>500</c:v>
                </c:pt>
                <c:pt idx="6">
                  <c:v>200</c:v>
                </c:pt>
                <c:pt idx="7">
                  <c:v>0</c:v>
                </c:pt>
                <c:pt idx="8">
                  <c:v>1500</c:v>
                </c:pt>
                <c:pt idx="9">
                  <c:v>100</c:v>
                </c:pt>
                <c:pt idx="10">
                  <c:v>0</c:v>
                </c:pt>
                <c:pt idx="11">
                  <c:v>1000</c:v>
                </c:pt>
                <c:pt idx="12">
                  <c:v>50</c:v>
                </c:pt>
                <c:pt idx="13">
                  <c:v>250</c:v>
                </c:pt>
                <c:pt idx="14">
                  <c:v>0</c:v>
                </c:pt>
                <c:pt idx="15">
                  <c:v>400</c:v>
                </c:pt>
                <c:pt idx="16">
                  <c:v>100</c:v>
                </c:pt>
              </c:numCache>
            </c:numRef>
          </c:yVal>
          <c:smooth val="1"/>
        </c:ser>
        <c:axId val="9619032"/>
        <c:axId val="45920964"/>
      </c:scatterChart>
      <c:valAx>
        <c:axId val="9619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94a3b8"/>
                    </a:solidFill>
                    <a:latin typeface="Calibri"/>
                  </a:defRPr>
                </a:pPr>
                <a:r>
                  <a:rPr b="0" sz="900" spc="-1" strike="noStrike">
                    <a:solidFill>
                      <a:srgbClr val="94a3b8"/>
                    </a:solidFill>
                    <a:latin typeface="Calibri"/>
                  </a:rPr>
                  <a:t>Gross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26334d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45920964"/>
        <c:crosses val="autoZero"/>
        <c:crossBetween val="midCat"/>
      </c:valAx>
      <c:valAx>
        <c:axId val="45920964"/>
        <c:scaling>
          <c:orientation val="minMax"/>
        </c:scaling>
        <c:delete val="0"/>
        <c:axPos val="l"/>
        <c:majorGridlines>
          <c:spPr>
            <a:ln w="9360">
              <a:solidFill>
                <a:srgbClr val="26334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94a3b8"/>
                    </a:solidFill>
                    <a:latin typeface="Calibri"/>
                  </a:defRPr>
                </a:pPr>
                <a:r>
                  <a:rPr b="0" sz="900" spc="-1" strike="noStrike">
                    <a:solidFill>
                      <a:srgbClr val="94a3b8"/>
                    </a:solidFill>
                    <a:latin typeface="Calibri"/>
                  </a:rPr>
                  <a:t>Discount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26334d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Calibri"/>
              </a:defRPr>
            </a:pPr>
          </a:p>
        </c:txPr>
        <c:crossAx val="9619032"/>
        <c:crosses val="autoZero"/>
        <c:crossBetween val="midCat"/>
      </c:valAx>
      <c:spPr>
        <a:solidFill>
          <a:srgbClr val="162033"/>
        </a:solidFill>
        <a:ln w="0">
          <a:noFill/>
        </a:ln>
      </c:spPr>
    </c:plotArea>
    <c:plotVisOnly val="1"/>
    <c:dispBlanksAs val="gap"/>
  </c:chart>
  <c:spPr>
    <a:solidFill>
      <a:srgbClr val="162033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689400</xdr:colOff>
      <xdr:row>23</xdr:row>
      <xdr:rowOff>43200</xdr:rowOff>
    </xdr:to>
    <xdr:graphicFrame>
      <xdr:nvGraphicFramePr>
        <xdr:cNvPr id="0" name="Chart 1"/>
        <xdr:cNvGraphicFramePr/>
      </xdr:nvGraphicFramePr>
      <xdr:xfrm>
        <a:off x="176400" y="2457360"/>
        <a:ext cx="4391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689760</xdr:colOff>
      <xdr:row>23</xdr:row>
      <xdr:rowOff>43200</xdr:rowOff>
    </xdr:to>
    <xdr:graphicFrame>
      <xdr:nvGraphicFramePr>
        <xdr:cNvPr id="1" name="Chart 2"/>
        <xdr:cNvGraphicFramePr/>
      </xdr:nvGraphicFramePr>
      <xdr:xfrm>
        <a:off x="4619160" y="2457360"/>
        <a:ext cx="4391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13</xdr:col>
      <xdr:colOff>42480</xdr:colOff>
      <xdr:row>40</xdr:row>
      <xdr:rowOff>187200</xdr:rowOff>
    </xdr:to>
    <xdr:graphicFrame>
      <xdr:nvGraphicFramePr>
        <xdr:cNvPr id="2" name="Chart 3"/>
        <xdr:cNvGraphicFramePr/>
      </xdr:nvGraphicFramePr>
      <xdr:xfrm>
        <a:off x="176400" y="5695920"/>
        <a:ext cx="892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689400</xdr:colOff>
      <xdr:row>58</xdr:row>
      <xdr:rowOff>187200</xdr:rowOff>
    </xdr:to>
    <xdr:graphicFrame>
      <xdr:nvGraphicFramePr>
        <xdr:cNvPr id="3" name="Chart 4"/>
        <xdr:cNvGraphicFramePr/>
      </xdr:nvGraphicFramePr>
      <xdr:xfrm>
        <a:off x="176400" y="9124920"/>
        <a:ext cx="439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689760</xdr:colOff>
      <xdr:row>58</xdr:row>
      <xdr:rowOff>187200</xdr:rowOff>
    </xdr:to>
    <xdr:graphicFrame>
      <xdr:nvGraphicFramePr>
        <xdr:cNvPr id="4" name="Chart 5"/>
        <xdr:cNvGraphicFramePr/>
      </xdr:nvGraphicFramePr>
      <xdr:xfrm>
        <a:off x="4619160" y="9124920"/>
        <a:ext cx="439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I18" headerRowCount="1" totalsRowCount="0" totalsRowShown="0">
  <autoFilter ref="A1:I18"/>
  <tableColumns count="9">
    <tableColumn id="1" name="Order ID"/>
    <tableColumn id="2" name="Date"/>
    <tableColumn id="3" name="Product"/>
    <tableColumn id="4" name="Region"/>
    <tableColumn id="5" name="Quantity"/>
    <tableColumn id="6" name="Unit Price"/>
    <tableColumn id="7" name="Gross Sales"/>
    <tableColumn id="8" name="Discount"/>
    <tableColumn id="9" name="Net 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N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3" min="2" style="0" width="10.51"/>
    <col collapsed="false" customWidth="true" hidden="false" outlineLevel="0" max="14" min="14" style="0" width="2.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</row>
    <row r="4" customFormat="false" ht="24" hidden="false" customHeight="true" outlineLevel="0" collapsed="false">
      <c r="A4" s="1"/>
      <c r="B4" s="1"/>
      <c r="C4" s="4" t="s">
        <v>2</v>
      </c>
      <c r="D4" s="5" t="s">
        <v>3</v>
      </c>
      <c r="E4" s="5"/>
      <c r="F4" s="1"/>
      <c r="G4" s="4" t="s">
        <v>4</v>
      </c>
      <c r="H4" s="5" t="s">
        <v>3</v>
      </c>
      <c r="I4" s="5"/>
      <c r="J4" s="6" t="s">
        <v>5</v>
      </c>
      <c r="K4" s="6"/>
      <c r="L4" s="6"/>
      <c r="M4" s="6"/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21.75" hidden="false" customHeight="true" outlineLevel="0" collapsed="false">
      <c r="A6" s="1"/>
      <c r="B6" s="7" t="s">
        <v>6</v>
      </c>
      <c r="C6" s="7"/>
      <c r="D6" s="7"/>
      <c r="E6" s="8" t="s">
        <v>7</v>
      </c>
      <c r="F6" s="8"/>
      <c r="G6" s="8"/>
      <c r="H6" s="9" t="s">
        <v>8</v>
      </c>
      <c r="I6" s="9"/>
      <c r="J6" s="9"/>
      <c r="K6" s="10" t="s">
        <v>9</v>
      </c>
      <c r="L6" s="10"/>
      <c r="M6" s="10"/>
      <c r="N6" s="1"/>
    </row>
    <row r="7" customFormat="false" ht="19.5" hidden="false" customHeight="true" outlineLevel="0" collapsed="false">
      <c r="A7" s="1"/>
      <c r="B7" s="11" t="n">
        <f aca="false">SUMIFS(Data!$G$2:$G$500,Data!$C$2:$C$500,Calc!$B$3,Data!$D$2:$D$500,Calc!$B$4)</f>
        <v>232000</v>
      </c>
      <c r="C7" s="11"/>
      <c r="D7" s="11"/>
      <c r="E7" s="12" t="n">
        <f aca="false">SUMIFS(Data!$I$2:$I$500,Data!$C$2:$C$500,Calc!$B$3,Data!$D$2:$D$500,Calc!$B$4)</f>
        <v>225850</v>
      </c>
      <c r="F7" s="12"/>
      <c r="G7" s="12"/>
      <c r="H7" s="13" t="n">
        <f aca="false">SUMIFS(Data!$H$2:$H$500,Data!$C$2:$C$500,Calc!$B$3,Data!$D$2:$D$500,Calc!$B$4)</f>
        <v>6150</v>
      </c>
      <c r="I7" s="13"/>
      <c r="J7" s="13"/>
      <c r="K7" s="14" t="n">
        <f aca="false">COUNTIFS(Data!$A$2:$A$500,"&gt;0",Data!$C$2:$C$500,Calc!$B$3,Data!$D$2:$D$500,Calc!$B$4)</f>
        <v>17</v>
      </c>
      <c r="L7" s="14"/>
      <c r="M7" s="14"/>
      <c r="N7" s="1"/>
    </row>
    <row r="8" customFormat="false" ht="19.5" hidden="false" customHeight="true" outlineLevel="0" collapsed="false">
      <c r="A8" s="1"/>
      <c r="B8" s="11"/>
      <c r="C8" s="11"/>
      <c r="D8" s="11"/>
      <c r="E8" s="12"/>
      <c r="F8" s="12"/>
      <c r="G8" s="12"/>
      <c r="H8" s="13"/>
      <c r="I8" s="13"/>
      <c r="J8" s="13"/>
      <c r="K8" s="14"/>
      <c r="L8" s="14"/>
      <c r="M8" s="14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5" t="s">
        <v>10</v>
      </c>
      <c r="C10" s="15"/>
      <c r="D10" s="15"/>
      <c r="E10" s="15"/>
      <c r="F10" s="15"/>
      <c r="G10" s="15"/>
      <c r="H10" s="15" t="s">
        <v>11</v>
      </c>
      <c r="I10" s="15"/>
      <c r="J10" s="15"/>
      <c r="K10" s="15"/>
      <c r="L10" s="15"/>
      <c r="M10" s="15"/>
      <c r="N10" s="1"/>
    </row>
    <row r="11" customFormat="false" ht="15" hidden="false" customHeight="false" outlineLevel="0" collapsed="false">
      <c r="A11" s="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"/>
    </row>
    <row r="12" customFormat="false" ht="15" hidden="false" customHeight="false" outlineLevel="0" collapsed="false">
      <c r="A12" s="1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"/>
    </row>
    <row r="13" customFormat="false" ht="15" hidden="false" customHeight="false" outlineLevel="0" collapsed="false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"/>
    </row>
    <row r="14" customFormat="false" ht="15" hidden="false" customHeight="false" outlineLevel="0" collapsed="false">
      <c r="A14" s="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"/>
    </row>
    <row r="15" customFormat="false" ht="15" hidden="false" customHeight="false" outlineLevel="0" collapsed="false">
      <c r="A15" s="1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"/>
    </row>
    <row r="16" customFormat="false" ht="15" hidden="false" customHeight="false" outlineLevel="0" collapsed="false">
      <c r="A16" s="1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"/>
    </row>
    <row r="17" customFormat="false" ht="15" hidden="false" customHeight="false" outlineLevel="0" collapsed="false">
      <c r="A17" s="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"/>
    </row>
    <row r="18" customFormat="false" ht="15" hidden="false" customHeight="false" outlineLevel="0" collapsed="false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"/>
    </row>
    <row r="19" customFormat="false" ht="15" hidden="false" customHeight="false" outlineLevel="0" collapsed="false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"/>
    </row>
    <row r="20" customFormat="false" ht="15" hidden="false" customHeight="false" outlineLevel="0" collapsed="false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"/>
    </row>
    <row r="21" customFormat="false" ht="15" hidden="false" customHeight="false" outlineLevel="0" collapsed="false">
      <c r="A21" s="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"/>
    </row>
    <row r="22" customFormat="false" ht="15" hidden="false" customHeight="false" outlineLevel="0" collapsed="false">
      <c r="A22" s="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"/>
    </row>
    <row r="23" customFormat="false" ht="15" hidden="false" customHeight="false" outlineLevel="0" collapsed="false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"/>
    </row>
    <row r="24" customFormat="false" ht="15" hidden="false" customHeight="false" outlineLevel="0" collapsed="false">
      <c r="A24" s="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"/>
    </row>
    <row r="25" customFormat="false" ht="15" hidden="false" customHeight="false" outlineLevel="0" collapsed="false">
      <c r="A25" s="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5" t="s">
        <v>12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"/>
    </row>
    <row r="28" customFormat="false" ht="15" hidden="false" customHeight="false" outlineLevel="0" collapsed="false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"/>
    </row>
    <row r="29" customFormat="false" ht="15" hidden="false" customHeight="false" outlineLevel="0" collapsed="false">
      <c r="A29" s="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"/>
    </row>
    <row r="30" customFormat="false" ht="15" hidden="false" customHeight="false" outlineLevel="0" collapsed="false">
      <c r="A30" s="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"/>
    </row>
    <row r="31" customFormat="false" ht="15" hidden="false" customHeight="false" outlineLevel="0" collapsed="false">
      <c r="A31" s="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"/>
    </row>
    <row r="32" customFormat="false" ht="15" hidden="false" customHeight="false" outlineLevel="0" collapsed="false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"/>
    </row>
    <row r="33" customFormat="false" ht="15" hidden="false" customHeight="false" outlineLevel="0" collapsed="false">
      <c r="A33" s="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"/>
    </row>
    <row r="34" customFormat="false" ht="15" hidden="false" customHeight="false" outlineLevel="0" collapsed="false">
      <c r="A34" s="1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"/>
    </row>
    <row r="35" customFormat="false" ht="15" hidden="false" customHeight="false" outlineLevel="0" collapsed="false">
      <c r="A35" s="1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"/>
    </row>
    <row r="36" customFormat="false" ht="15" hidden="false" customHeight="false" outlineLevel="0" collapsed="false">
      <c r="A36" s="1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"/>
    </row>
    <row r="37" customFormat="false" ht="15" hidden="false" customHeight="false" outlineLevel="0" collapsed="false">
      <c r="A37" s="1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"/>
    </row>
    <row r="38" customFormat="false" ht="15" hidden="false" customHeight="false" outlineLevel="0" collapsed="false">
      <c r="A38" s="1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"/>
    </row>
    <row r="39" customFormat="false" ht="15" hidden="false" customHeight="false" outlineLevel="0" collapsed="false">
      <c r="A39" s="1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"/>
    </row>
    <row r="40" customFormat="false" ht="15" hidden="false" customHeight="false" outlineLevel="0" collapsed="false">
      <c r="A40" s="1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"/>
    </row>
    <row r="41" customFormat="false" ht="15" hidden="false" customHeight="false" outlineLevel="0" collapsed="false">
      <c r="A41" s="1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"/>
    </row>
    <row r="42" customFormat="false" ht="15" hidden="false" customHeight="false" outlineLevel="0" collapsed="false">
      <c r="A42" s="1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"/>
    </row>
    <row r="43" customFormat="false" ht="15" hidden="false" customHeight="false" outlineLevel="0" collapsed="false">
      <c r="A43" s="1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5" t="s">
        <v>13</v>
      </c>
      <c r="C45" s="15"/>
      <c r="D45" s="15"/>
      <c r="E45" s="15"/>
      <c r="F45" s="15"/>
      <c r="G45" s="15"/>
      <c r="H45" s="15" t="str">
        <f aca="false">"Gross Sales vs Discount   (correlation: "&amp;TEXT(CORREL(Data!$G$2:$G$200,Data!$H$2:$H$200),"0.00")&amp;")"</f>
        <v>Gross Sales vs Discount   (correlation: 0.74)</v>
      </c>
      <c r="I45" s="15"/>
      <c r="J45" s="15"/>
      <c r="K45" s="15"/>
      <c r="L45" s="15"/>
      <c r="M45" s="15"/>
      <c r="N45" s="1"/>
    </row>
    <row r="46" customFormat="false" ht="15" hidden="false" customHeight="false" outlineLevel="0" collapsed="false">
      <c r="A46" s="1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"/>
    </row>
    <row r="47" customFormat="false" ht="15" hidden="false" customHeight="false" outlineLevel="0" collapsed="false">
      <c r="A47" s="1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"/>
    </row>
    <row r="48" customFormat="false" ht="15" hidden="false" customHeight="false" outlineLevel="0" collapsed="false">
      <c r="A48" s="1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"/>
    </row>
    <row r="49" customFormat="false" ht="15" hidden="false" customHeight="false" outlineLevel="0" collapsed="false">
      <c r="A49" s="1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"/>
    </row>
    <row r="50" customFormat="false" ht="15" hidden="false" customHeight="false" outlineLevel="0" collapsed="false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"/>
    </row>
    <row r="51" customFormat="false" ht="15" hidden="false" customHeight="false" outlineLevel="0" collapsed="false">
      <c r="A51" s="1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"/>
    </row>
    <row r="52" customFormat="false" ht="15" hidden="false" customHeight="false" outlineLevel="0" collapsed="false">
      <c r="A52" s="1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"/>
    </row>
    <row r="53" customFormat="false" ht="15" hidden="false" customHeight="false" outlineLevel="0" collapsed="false">
      <c r="A53" s="1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"/>
    </row>
    <row r="54" customFormat="false" ht="15" hidden="false" customHeight="false" outlineLevel="0" collapsed="false">
      <c r="A54" s="1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"/>
    </row>
    <row r="55" customFormat="false" ht="15" hidden="false" customHeight="false" outlineLevel="0" collapsed="false">
      <c r="A55" s="1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"/>
    </row>
    <row r="56" customFormat="false" ht="15" hidden="false" customHeight="false" outlineLevel="0" collapsed="false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"/>
    </row>
    <row r="57" customFormat="false" ht="15" hidden="false" customHeight="false" outlineLevel="0" collapsed="false">
      <c r="A57" s="1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"/>
    </row>
    <row r="58" customFormat="false" ht="15" hidden="false" customHeight="false" outlineLevel="0" collapsed="false">
      <c r="A58" s="1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"/>
    </row>
    <row r="59" customFormat="false" ht="15" hidden="false" customHeight="false" outlineLevel="0" collapsed="false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"/>
    </row>
    <row r="60" customFormat="false" ht="15" hidden="false" customHeight="false" outlineLevel="0" collapsed="false">
      <c r="A60" s="1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</sheetData>
  <mergeCells count="18">
    <mergeCell ref="B2:H2"/>
    <mergeCell ref="B3:H3"/>
    <mergeCell ref="D4:E4"/>
    <mergeCell ref="H4:I4"/>
    <mergeCell ref="J4:M4"/>
    <mergeCell ref="B6:D6"/>
    <mergeCell ref="E6:G6"/>
    <mergeCell ref="H6:J6"/>
    <mergeCell ref="K6:M6"/>
    <mergeCell ref="B7:D8"/>
    <mergeCell ref="E7:G8"/>
    <mergeCell ref="H7:J8"/>
    <mergeCell ref="K7:M8"/>
    <mergeCell ref="B10:G10"/>
    <mergeCell ref="H10:M10"/>
    <mergeCell ref="B27:M27"/>
    <mergeCell ref="B45:G45"/>
    <mergeCell ref="H45:M45"/>
  </mergeCells>
  <dataValidations count="2">
    <dataValidation allowBlank="false" errorStyle="stop" operator="between" showDropDown="false" showErrorMessage="false" showInputMessage="false" sqref="D4" type="list">
      <formula1>"All,Laptop,Keyboard,Mouse"</formula1>
      <formula2>0</formula2>
    </dataValidation>
    <dataValidation allowBlank="false" errorStyle="stop" operator="between" showDropDown="false" showErrorMessage="false" showInputMessage="false" sqref="H4" type="list">
      <formula1>"All,Cairo,Alex,Giza"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7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</row>
    <row r="2" customFormat="false" ht="15" hidden="false" customHeight="false" outlineLevel="0" collapsed="false">
      <c r="A2" s="18" t="n">
        <v>5001</v>
      </c>
      <c r="B2" s="19" t="n">
        <v>46296</v>
      </c>
      <c r="C2" s="18" t="s">
        <v>23</v>
      </c>
      <c r="D2" s="18" t="s">
        <v>24</v>
      </c>
      <c r="E2" s="18" t="n">
        <v>2</v>
      </c>
      <c r="F2" s="20" t="n">
        <v>25000</v>
      </c>
      <c r="G2" s="20" t="n">
        <f aca="false">E2*F2</f>
        <v>50000</v>
      </c>
      <c r="H2" s="20" t="n">
        <v>1000</v>
      </c>
      <c r="I2" s="20" t="n">
        <f aca="false">G2-H2</f>
        <v>49000</v>
      </c>
    </row>
    <row r="3" customFormat="false" ht="15" hidden="false" customHeight="false" outlineLevel="0" collapsed="false">
      <c r="A3" s="18" t="n">
        <v>5002</v>
      </c>
      <c r="B3" s="19" t="n">
        <v>46296</v>
      </c>
      <c r="C3" s="18" t="s">
        <v>25</v>
      </c>
      <c r="D3" s="18" t="s">
        <v>26</v>
      </c>
      <c r="E3" s="18" t="n">
        <v>5</v>
      </c>
      <c r="F3" s="20" t="n">
        <v>500</v>
      </c>
      <c r="G3" s="20" t="n">
        <f aca="false">E3*F3</f>
        <v>2500</v>
      </c>
      <c r="H3" s="20" t="n">
        <v>100</v>
      </c>
      <c r="I3" s="20" t="n">
        <f aca="false">G3-H3</f>
        <v>2400</v>
      </c>
    </row>
    <row r="4" customFormat="false" ht="15" hidden="false" customHeight="false" outlineLevel="0" collapsed="false">
      <c r="A4" s="18" t="n">
        <v>5003</v>
      </c>
      <c r="B4" s="19" t="n">
        <v>46297</v>
      </c>
      <c r="C4" s="18" t="s">
        <v>27</v>
      </c>
      <c r="D4" s="18" t="s">
        <v>24</v>
      </c>
      <c r="E4" s="18" t="n">
        <v>3</v>
      </c>
      <c r="F4" s="20" t="n">
        <v>1200</v>
      </c>
      <c r="G4" s="20" t="n">
        <f aca="false">E4*F4</f>
        <v>3600</v>
      </c>
      <c r="H4" s="20" t="n">
        <v>150</v>
      </c>
      <c r="I4" s="20" t="n">
        <f aca="false">G4-H4</f>
        <v>3450</v>
      </c>
    </row>
    <row r="5" customFormat="false" ht="15" hidden="false" customHeight="false" outlineLevel="0" collapsed="false">
      <c r="A5" s="18" t="n">
        <v>5004</v>
      </c>
      <c r="B5" s="19" t="n">
        <v>46297</v>
      </c>
      <c r="C5" s="18" t="s">
        <v>23</v>
      </c>
      <c r="D5" s="18" t="s">
        <v>24</v>
      </c>
      <c r="E5" s="18" t="n">
        <v>1</v>
      </c>
      <c r="F5" s="20" t="n">
        <v>25000</v>
      </c>
      <c r="G5" s="20" t="n">
        <f aca="false">E5*F5</f>
        <v>25000</v>
      </c>
      <c r="H5" s="20" t="n">
        <v>500</v>
      </c>
      <c r="I5" s="20" t="n">
        <f aca="false">G5-H5</f>
        <v>24500</v>
      </c>
    </row>
    <row r="6" customFormat="false" ht="15" hidden="false" customHeight="false" outlineLevel="0" collapsed="false">
      <c r="A6" s="18" t="n">
        <v>5005</v>
      </c>
      <c r="B6" s="19" t="n">
        <v>46298</v>
      </c>
      <c r="C6" s="18" t="s">
        <v>25</v>
      </c>
      <c r="D6" s="18" t="s">
        <v>28</v>
      </c>
      <c r="E6" s="18" t="n">
        <v>6</v>
      </c>
      <c r="F6" s="20" t="n">
        <v>500</v>
      </c>
      <c r="G6" s="20" t="n">
        <f aca="false">E6*F6</f>
        <v>3000</v>
      </c>
      <c r="H6" s="20" t="n">
        <v>300</v>
      </c>
      <c r="I6" s="20" t="n">
        <f aca="false">G6-H6</f>
        <v>2700</v>
      </c>
    </row>
    <row r="7" customFormat="false" ht="15" hidden="false" customHeight="false" outlineLevel="0" collapsed="false">
      <c r="A7" s="18" t="n">
        <v>5006</v>
      </c>
      <c r="B7" s="19" t="n">
        <v>46298</v>
      </c>
      <c r="C7" s="18" t="s">
        <v>23</v>
      </c>
      <c r="D7" s="18" t="s">
        <v>28</v>
      </c>
      <c r="E7" s="18" t="n">
        <v>1</v>
      </c>
      <c r="F7" s="20" t="n">
        <v>25000</v>
      </c>
      <c r="G7" s="20" t="n">
        <f aca="false">E7*F7</f>
        <v>25000</v>
      </c>
      <c r="H7" s="20" t="n">
        <v>500</v>
      </c>
      <c r="I7" s="20" t="n">
        <f aca="false">G7-H7</f>
        <v>24500</v>
      </c>
    </row>
    <row r="8" customFormat="false" ht="15" hidden="false" customHeight="false" outlineLevel="0" collapsed="false">
      <c r="A8" s="18" t="n">
        <v>5007</v>
      </c>
      <c r="B8" s="19" t="n">
        <v>46299</v>
      </c>
      <c r="C8" s="18" t="s">
        <v>27</v>
      </c>
      <c r="D8" s="18" t="s">
        <v>26</v>
      </c>
      <c r="E8" s="18" t="n">
        <v>2</v>
      </c>
      <c r="F8" s="20" t="n">
        <v>1200</v>
      </c>
      <c r="G8" s="20" t="n">
        <f aca="false">E8*F8</f>
        <v>2400</v>
      </c>
      <c r="H8" s="20" t="n">
        <v>200</v>
      </c>
      <c r="I8" s="20" t="n">
        <f aca="false">G8-H8</f>
        <v>2200</v>
      </c>
    </row>
    <row r="9" customFormat="false" ht="15" hidden="false" customHeight="false" outlineLevel="0" collapsed="false">
      <c r="A9" s="18" t="n">
        <v>5008</v>
      </c>
      <c r="B9" s="19" t="n">
        <v>46299</v>
      </c>
      <c r="C9" s="18" t="s">
        <v>25</v>
      </c>
      <c r="D9" s="18" t="s">
        <v>24</v>
      </c>
      <c r="E9" s="18" t="n">
        <v>4</v>
      </c>
      <c r="F9" s="20" t="n">
        <v>500</v>
      </c>
      <c r="G9" s="20" t="n">
        <f aca="false">E9*F9</f>
        <v>2000</v>
      </c>
      <c r="H9" s="20" t="n">
        <v>0</v>
      </c>
      <c r="I9" s="20" t="n">
        <f aca="false">G9-H9</f>
        <v>2000</v>
      </c>
    </row>
    <row r="10" customFormat="false" ht="15" hidden="false" customHeight="false" outlineLevel="0" collapsed="false">
      <c r="A10" s="18" t="n">
        <v>5009</v>
      </c>
      <c r="B10" s="19" t="n">
        <v>46300</v>
      </c>
      <c r="C10" s="18" t="s">
        <v>23</v>
      </c>
      <c r="D10" s="18" t="s">
        <v>24</v>
      </c>
      <c r="E10" s="18" t="n">
        <v>1</v>
      </c>
      <c r="F10" s="20" t="n">
        <v>25000</v>
      </c>
      <c r="G10" s="20" t="n">
        <f aca="false">E10*F10</f>
        <v>25000</v>
      </c>
      <c r="H10" s="20" t="n">
        <v>1500</v>
      </c>
      <c r="I10" s="20" t="n">
        <f aca="false">G10-H10</f>
        <v>23500</v>
      </c>
    </row>
    <row r="11" customFormat="false" ht="15" hidden="false" customHeight="false" outlineLevel="0" collapsed="false">
      <c r="A11" s="18" t="n">
        <v>5010</v>
      </c>
      <c r="B11" s="19" t="n">
        <v>46300</v>
      </c>
      <c r="C11" s="18" t="s">
        <v>27</v>
      </c>
      <c r="D11" s="18" t="s">
        <v>28</v>
      </c>
      <c r="E11" s="18" t="n">
        <v>4</v>
      </c>
      <c r="F11" s="20" t="n">
        <v>1200</v>
      </c>
      <c r="G11" s="20" t="n">
        <f aca="false">E11*F11</f>
        <v>4800</v>
      </c>
      <c r="H11" s="20" t="n">
        <v>100</v>
      </c>
      <c r="I11" s="20" t="n">
        <f aca="false">G11-H11</f>
        <v>4700</v>
      </c>
    </row>
    <row r="12" customFormat="false" ht="15" hidden="false" customHeight="false" outlineLevel="0" collapsed="false">
      <c r="A12" s="18" t="n">
        <v>5011</v>
      </c>
      <c r="B12" s="19" t="n">
        <v>46301</v>
      </c>
      <c r="C12" s="18" t="s">
        <v>25</v>
      </c>
      <c r="D12" s="18" t="s">
        <v>26</v>
      </c>
      <c r="E12" s="18" t="n">
        <v>3</v>
      </c>
      <c r="F12" s="20" t="n">
        <v>500</v>
      </c>
      <c r="G12" s="20" t="n">
        <f aca="false">E12*F12</f>
        <v>1500</v>
      </c>
      <c r="H12" s="20" t="n">
        <v>0</v>
      </c>
      <c r="I12" s="20" t="n">
        <f aca="false">G12-H12</f>
        <v>1500</v>
      </c>
    </row>
    <row r="13" customFormat="false" ht="15" hidden="false" customHeight="false" outlineLevel="0" collapsed="false">
      <c r="A13" s="18" t="n">
        <v>5012</v>
      </c>
      <c r="B13" s="19" t="n">
        <v>46301</v>
      </c>
      <c r="C13" s="18" t="s">
        <v>23</v>
      </c>
      <c r="D13" s="18" t="s">
        <v>24</v>
      </c>
      <c r="E13" s="18" t="n">
        <v>2</v>
      </c>
      <c r="F13" s="20" t="n">
        <v>25000</v>
      </c>
      <c r="G13" s="20" t="n">
        <f aca="false">E13*F13</f>
        <v>50000</v>
      </c>
      <c r="H13" s="20" t="n">
        <v>1000</v>
      </c>
      <c r="I13" s="20" t="n">
        <f aca="false">G13-H13</f>
        <v>49000</v>
      </c>
    </row>
    <row r="14" customFormat="false" ht="15" hidden="false" customHeight="false" outlineLevel="0" collapsed="false">
      <c r="A14" s="18" t="n">
        <v>5013</v>
      </c>
      <c r="B14" s="19" t="n">
        <v>46302</v>
      </c>
      <c r="C14" s="18" t="s">
        <v>25</v>
      </c>
      <c r="D14" s="18" t="s">
        <v>24</v>
      </c>
      <c r="E14" s="18" t="n">
        <v>2</v>
      </c>
      <c r="F14" s="20" t="n">
        <v>500</v>
      </c>
      <c r="G14" s="20" t="n">
        <f aca="false">E14*F14</f>
        <v>1000</v>
      </c>
      <c r="H14" s="20" t="n">
        <v>50</v>
      </c>
      <c r="I14" s="20" t="n">
        <f aca="false">G14-H14</f>
        <v>950</v>
      </c>
    </row>
    <row r="15" customFormat="false" ht="15" hidden="false" customHeight="false" outlineLevel="0" collapsed="false">
      <c r="A15" s="18" t="n">
        <v>5014</v>
      </c>
      <c r="B15" s="19" t="n">
        <v>46302</v>
      </c>
      <c r="C15" s="18" t="s">
        <v>27</v>
      </c>
      <c r="D15" s="18" t="s">
        <v>28</v>
      </c>
      <c r="E15" s="18" t="n">
        <v>4</v>
      </c>
      <c r="F15" s="20" t="n">
        <v>1200</v>
      </c>
      <c r="G15" s="20" t="n">
        <f aca="false">E15*F15</f>
        <v>4800</v>
      </c>
      <c r="H15" s="20" t="n">
        <v>250</v>
      </c>
      <c r="I15" s="20" t="n">
        <f aca="false">G15-H15</f>
        <v>4550</v>
      </c>
    </row>
    <row r="16" customFormat="false" ht="15" hidden="false" customHeight="false" outlineLevel="0" collapsed="false">
      <c r="A16" s="18" t="n">
        <v>5015</v>
      </c>
      <c r="B16" s="19" t="n">
        <v>46303</v>
      </c>
      <c r="C16" s="18" t="s">
        <v>23</v>
      </c>
      <c r="D16" s="18" t="s">
        <v>26</v>
      </c>
      <c r="E16" s="18" t="n">
        <v>1</v>
      </c>
      <c r="F16" s="20" t="n">
        <v>25000</v>
      </c>
      <c r="G16" s="20" t="n">
        <f aca="false">E16*F16</f>
        <v>25000</v>
      </c>
      <c r="H16" s="20" t="n">
        <v>0</v>
      </c>
      <c r="I16" s="20" t="n">
        <f aca="false">G16-H16</f>
        <v>25000</v>
      </c>
    </row>
    <row r="17" customFormat="false" ht="15" hidden="false" customHeight="false" outlineLevel="0" collapsed="false">
      <c r="A17" s="18" t="n">
        <v>5016</v>
      </c>
      <c r="B17" s="19" t="n">
        <v>46303</v>
      </c>
      <c r="C17" s="18" t="s">
        <v>25</v>
      </c>
      <c r="D17" s="18" t="s">
        <v>28</v>
      </c>
      <c r="E17" s="18" t="n">
        <v>8</v>
      </c>
      <c r="F17" s="20" t="n">
        <v>500</v>
      </c>
      <c r="G17" s="20" t="n">
        <f aca="false">E17*F17</f>
        <v>4000</v>
      </c>
      <c r="H17" s="20" t="n">
        <v>400</v>
      </c>
      <c r="I17" s="20" t="n">
        <f aca="false">G17-H17</f>
        <v>3600</v>
      </c>
    </row>
    <row r="18" customFormat="false" ht="15" hidden="false" customHeight="false" outlineLevel="0" collapsed="false">
      <c r="A18" s="18" t="n">
        <v>5017</v>
      </c>
      <c r="B18" s="19" t="n">
        <v>46304</v>
      </c>
      <c r="C18" s="18" t="s">
        <v>27</v>
      </c>
      <c r="D18" s="18" t="s">
        <v>24</v>
      </c>
      <c r="E18" s="18" t="n">
        <v>2</v>
      </c>
      <c r="F18" s="20" t="n">
        <v>1200</v>
      </c>
      <c r="G18" s="20" t="n">
        <f aca="false">E18*F18</f>
        <v>2400</v>
      </c>
      <c r="H18" s="20" t="n">
        <v>100</v>
      </c>
      <c r="I18" s="20" t="n">
        <f aca="false">G18-H18</f>
        <v>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5" min="4" style="0" width="14"/>
    <col collapsed="false" customWidth="true" hidden="false" outlineLevel="0" max="7" min="7" style="0" width="14"/>
    <col collapsed="false" customWidth="true" hidden="false" outlineLevel="0" max="10" min="8" style="0" width="12"/>
  </cols>
  <sheetData>
    <row r="1" customFormat="false" ht="15" hidden="false" customHeight="false" outlineLevel="0" collapsed="false">
      <c r="A1" s="21" t="s">
        <v>29</v>
      </c>
    </row>
    <row r="3" customFormat="false" ht="15" hidden="false" customHeight="false" outlineLevel="0" collapsed="false">
      <c r="A3" s="18" t="s">
        <v>30</v>
      </c>
      <c r="B3" s="18" t="str">
        <f aca="false">IF(Dashboard!$D$4="All","*",Dashboard!$D$4)</f>
        <v>*</v>
      </c>
    </row>
    <row r="4" customFormat="false" ht="15" hidden="false" customHeight="false" outlineLevel="0" collapsed="false">
      <c r="A4" s="18" t="s">
        <v>31</v>
      </c>
      <c r="B4" s="18" t="str">
        <f aca="false">IF(Dashboard!$H$4="All","*",Dashboard!$H$4)</f>
        <v>*</v>
      </c>
    </row>
    <row r="6" customFormat="false" ht="15" hidden="false" customHeight="false" outlineLevel="0" collapsed="false">
      <c r="A6" s="22" t="s">
        <v>16</v>
      </c>
      <c r="B6" s="22" t="s">
        <v>22</v>
      </c>
      <c r="D6" s="22" t="s">
        <v>17</v>
      </c>
      <c r="E6" s="22" t="s">
        <v>22</v>
      </c>
      <c r="G6" s="22" t="s">
        <v>16</v>
      </c>
      <c r="H6" s="22" t="s">
        <v>24</v>
      </c>
      <c r="I6" s="22" t="s">
        <v>28</v>
      </c>
      <c r="J6" s="22" t="s">
        <v>26</v>
      </c>
    </row>
    <row r="7" customFormat="false" ht="15" hidden="false" customHeight="false" outlineLevel="0" collapsed="false">
      <c r="A7" s="18" t="s">
        <v>23</v>
      </c>
      <c r="B7" s="20" t="n">
        <f aca="false">SUMIFS(Data!$I$2:$I$500,Data!$C$2:$C$500,A7,Data!$D$2:$D$500,Calc!$B$4)</f>
        <v>195500</v>
      </c>
      <c r="D7" s="18" t="s">
        <v>24</v>
      </c>
      <c r="E7" s="20" t="n">
        <f aca="false">SUMIFS(Data!$I$2:$I$500,Data!$D$2:$D$500,D7,Data!$C$2:$C$500,Calc!$B$3)</f>
        <v>154700</v>
      </c>
      <c r="G7" s="18" t="s">
        <v>23</v>
      </c>
      <c r="H7" s="20" t="n">
        <f aca="false">SUMIFS(Data!$I$2:$I$500,Data!$C$2:$C$500,$G7,Data!$D$2:$D$500,H$6,Data!$C$2:$C$500,Calc!$B$3,Data!$D$2:$D$500,Calc!$B$4)</f>
        <v>146000</v>
      </c>
      <c r="I7" s="20" t="n">
        <f aca="false">SUMIFS(Data!$I$2:$I$500,Data!$C$2:$C$500,$G7,Data!$D$2:$D$500,I$6,Data!$C$2:$C$500,Calc!$B$3,Data!$D$2:$D$500,Calc!$B$4)</f>
        <v>24500</v>
      </c>
      <c r="J7" s="20" t="n">
        <f aca="false">SUMIFS(Data!$I$2:$I$500,Data!$C$2:$C$500,$G7,Data!$D$2:$D$500,J$6,Data!$C$2:$C$500,Calc!$B$3,Data!$D$2:$D$500,Calc!$B$4)</f>
        <v>25000</v>
      </c>
    </row>
    <row r="8" customFormat="false" ht="15" hidden="false" customHeight="false" outlineLevel="0" collapsed="false">
      <c r="A8" s="18" t="s">
        <v>27</v>
      </c>
      <c r="B8" s="20" t="n">
        <f aca="false">SUMIFS(Data!$I$2:$I$500,Data!$C$2:$C$500,A8,Data!$D$2:$D$500,Calc!$B$4)</f>
        <v>17200</v>
      </c>
      <c r="D8" s="18" t="s">
        <v>28</v>
      </c>
      <c r="E8" s="20" t="n">
        <f aca="false">SUMIFS(Data!$I$2:$I$500,Data!$D$2:$D$500,D8,Data!$C$2:$C$500,Calc!$B$3)</f>
        <v>40050</v>
      </c>
      <c r="G8" s="18" t="s">
        <v>27</v>
      </c>
      <c r="H8" s="20" t="n">
        <f aca="false">SUMIFS(Data!$I$2:$I$500,Data!$C$2:$C$500,$G8,Data!$D$2:$D$500,H$6,Data!$C$2:$C$500,Calc!$B$3,Data!$D$2:$D$500,Calc!$B$4)</f>
        <v>5750</v>
      </c>
      <c r="I8" s="20" t="n">
        <f aca="false">SUMIFS(Data!$I$2:$I$500,Data!$C$2:$C$500,$G8,Data!$D$2:$D$500,I$6,Data!$C$2:$C$500,Calc!$B$3,Data!$D$2:$D$500,Calc!$B$4)</f>
        <v>9250</v>
      </c>
      <c r="J8" s="20" t="n">
        <f aca="false">SUMIFS(Data!$I$2:$I$500,Data!$C$2:$C$500,$G8,Data!$D$2:$D$500,J$6,Data!$C$2:$C$500,Calc!$B$3,Data!$D$2:$D$500,Calc!$B$4)</f>
        <v>2200</v>
      </c>
    </row>
    <row r="9" customFormat="false" ht="15" hidden="false" customHeight="false" outlineLevel="0" collapsed="false">
      <c r="A9" s="18" t="s">
        <v>25</v>
      </c>
      <c r="B9" s="20" t="n">
        <f aca="false">SUMIFS(Data!$I$2:$I$500,Data!$C$2:$C$500,A9,Data!$D$2:$D$500,Calc!$B$4)</f>
        <v>13150</v>
      </c>
      <c r="D9" s="18" t="s">
        <v>26</v>
      </c>
      <c r="E9" s="20" t="n">
        <f aca="false">SUMIFS(Data!$I$2:$I$500,Data!$D$2:$D$500,D9,Data!$C$2:$C$500,Calc!$B$3)</f>
        <v>31100</v>
      </c>
      <c r="G9" s="18" t="s">
        <v>25</v>
      </c>
      <c r="H9" s="20" t="n">
        <f aca="false">SUMIFS(Data!$I$2:$I$500,Data!$C$2:$C$500,$G9,Data!$D$2:$D$500,H$6,Data!$C$2:$C$500,Calc!$B$3,Data!$D$2:$D$500,Calc!$B$4)</f>
        <v>2950</v>
      </c>
      <c r="I9" s="20" t="n">
        <f aca="false">SUMIFS(Data!$I$2:$I$500,Data!$C$2:$C$500,$G9,Data!$D$2:$D$500,I$6,Data!$C$2:$C$500,Calc!$B$3,Data!$D$2:$D$500,Calc!$B$4)</f>
        <v>6300</v>
      </c>
      <c r="J9" s="20" t="n">
        <f aca="false">SUMIFS(Data!$I$2:$I$500,Data!$C$2:$C$500,$G9,Data!$D$2:$D$500,J$6,Data!$C$2:$C$500,Calc!$B$3,Data!$D$2:$D$500,Calc!$B$4)</f>
        <v>3900</v>
      </c>
    </row>
    <row r="12" customFormat="false" ht="15" hidden="false" customHeight="false" outlineLevel="0" collapsed="false">
      <c r="A12" s="22" t="s">
        <v>15</v>
      </c>
      <c r="B12" s="22" t="s">
        <v>22</v>
      </c>
    </row>
    <row r="13" customFormat="false" ht="15" hidden="false" customHeight="false" outlineLevel="0" collapsed="false">
      <c r="A13" s="23" t="n">
        <v>46296</v>
      </c>
      <c r="B13" s="20" t="n">
        <f aca="false">SUMIFS(Data!$I$2:$I$500,Data!$B$2:$B$500,A13,Data!$C$2:$C$500,Calc!$B$3,Data!$D$2:$D$500,Calc!$B$4)</f>
        <v>51400</v>
      </c>
      <c r="E13" s="24"/>
    </row>
    <row r="14" customFormat="false" ht="15" hidden="false" customHeight="false" outlineLevel="0" collapsed="false">
      <c r="A14" s="23" t="n">
        <v>46297</v>
      </c>
      <c r="B14" s="20" t="n">
        <f aca="false">SUMIFS(Data!$I$2:$I$500,Data!$B$2:$B$500,A14,Data!$C$2:$C$500,Calc!$B$3,Data!$D$2:$D$500,Calc!$B$4)</f>
        <v>27950</v>
      </c>
      <c r="E14" s="24"/>
    </row>
    <row r="15" customFormat="false" ht="15" hidden="false" customHeight="false" outlineLevel="0" collapsed="false">
      <c r="A15" s="23" t="n">
        <v>46298</v>
      </c>
      <c r="B15" s="20" t="n">
        <f aca="false">SUMIFS(Data!$I$2:$I$500,Data!$B$2:$B$500,A15,Data!$C$2:$C$500,Calc!$B$3,Data!$D$2:$D$500,Calc!$B$4)</f>
        <v>27200</v>
      </c>
      <c r="E15" s="24"/>
    </row>
    <row r="16" customFormat="false" ht="15" hidden="false" customHeight="false" outlineLevel="0" collapsed="false">
      <c r="A16" s="23" t="n">
        <v>46299</v>
      </c>
      <c r="B16" s="20" t="n">
        <f aca="false">SUMIFS(Data!$I$2:$I$500,Data!$B$2:$B$500,A16,Data!$C$2:$C$500,Calc!$B$3,Data!$D$2:$D$500,Calc!$B$4)</f>
        <v>4200</v>
      </c>
      <c r="E16" s="24"/>
    </row>
    <row r="17" customFormat="false" ht="15" hidden="false" customHeight="false" outlineLevel="0" collapsed="false">
      <c r="A17" s="23" t="n">
        <v>46300</v>
      </c>
      <c r="B17" s="20" t="n">
        <f aca="false">SUMIFS(Data!$I$2:$I$500,Data!$B$2:$B$500,A17,Data!$C$2:$C$500,Calc!$B$3,Data!$D$2:$D$500,Calc!$B$4)</f>
        <v>28200</v>
      </c>
      <c r="E17" s="24"/>
    </row>
    <row r="18" customFormat="false" ht="15" hidden="false" customHeight="false" outlineLevel="0" collapsed="false">
      <c r="A18" s="23" t="n">
        <v>46301</v>
      </c>
      <c r="B18" s="20" t="n">
        <f aca="false">SUMIFS(Data!$I$2:$I$500,Data!$B$2:$B$500,A18,Data!$C$2:$C$500,Calc!$B$3,Data!$D$2:$D$500,Calc!$B$4)</f>
        <v>50500</v>
      </c>
      <c r="E18" s="24"/>
    </row>
    <row r="19" customFormat="false" ht="15" hidden="false" customHeight="false" outlineLevel="0" collapsed="false">
      <c r="A19" s="23" t="n">
        <v>46302</v>
      </c>
      <c r="B19" s="20" t="n">
        <f aca="false">SUMIFS(Data!$I$2:$I$500,Data!$B$2:$B$500,A19,Data!$C$2:$C$500,Calc!$B$3,Data!$D$2:$D$500,Calc!$B$4)</f>
        <v>5500</v>
      </c>
      <c r="E19" s="24"/>
    </row>
    <row r="20" customFormat="false" ht="15" hidden="false" customHeight="false" outlineLevel="0" collapsed="false">
      <c r="A20" s="23" t="n">
        <v>46303</v>
      </c>
      <c r="B20" s="20" t="n">
        <f aca="false">SUMIFS(Data!$I$2:$I$500,Data!$B$2:$B$500,A20,Data!$C$2:$C$500,Calc!$B$3,Data!$D$2:$D$500,Calc!$B$4)</f>
        <v>28600</v>
      </c>
      <c r="E20" s="24"/>
    </row>
    <row r="21" customFormat="false" ht="15" hidden="false" customHeight="false" outlineLevel="0" collapsed="false">
      <c r="A21" s="23" t="n">
        <v>46304</v>
      </c>
      <c r="B21" s="20" t="n">
        <f aca="false">SUMIFS(Data!$I$2:$I$500,Data!$B$2:$B$500,A21,Data!$C$2:$C$500,Calc!$B$3,Data!$D$2:$D$500,Calc!$B$4)</f>
        <v>2300</v>
      </c>
      <c r="E2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2026-10-17T16:02:45Z</dcterms:created>
  <dc:creator>openpyxl</dc:creator>
  <dc:description/>
  <dc:language>en-US</dc:language>
  <cp:lastModifiedBy/>
  <dcterms:modified xsi:type="dcterms:W3CDTF">2026-10-17T19:02:50Z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